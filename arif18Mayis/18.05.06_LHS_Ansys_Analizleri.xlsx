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em\Desktop\ileri opt\"/>
    </mc:Choice>
  </mc:AlternateContent>
  <xr:revisionPtr revIDLastSave="0" documentId="13_ncr:1_{6C030D4C-0C1E-4717-84A5-E90B321FCD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2" sheetId="2" r:id="rId1"/>
    <sheet name="Sayfa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51" i="2" l="1"/>
  <c r="S151" i="2"/>
  <c r="R151" i="2"/>
  <c r="Q151" i="2"/>
  <c r="T148" i="2"/>
  <c r="S148" i="2"/>
  <c r="R148" i="2"/>
  <c r="Q148" i="2"/>
  <c r="T145" i="2"/>
  <c r="S145" i="2"/>
  <c r="R145" i="2"/>
  <c r="Q145" i="2"/>
  <c r="T142" i="2"/>
  <c r="S142" i="2"/>
  <c r="R142" i="2"/>
  <c r="Q142" i="2"/>
  <c r="T139" i="2"/>
  <c r="S139" i="2"/>
  <c r="R139" i="2"/>
  <c r="Q139" i="2"/>
  <c r="T136" i="2"/>
  <c r="S136" i="2"/>
  <c r="R136" i="2"/>
  <c r="Q136" i="2"/>
  <c r="T133" i="2"/>
  <c r="S133" i="2"/>
  <c r="R133" i="2"/>
  <c r="Q133" i="2"/>
  <c r="T130" i="2"/>
  <c r="S130" i="2"/>
  <c r="R130" i="2"/>
  <c r="Q130" i="2"/>
  <c r="F14" i="3"/>
  <c r="L14" i="3"/>
  <c r="K14" i="3"/>
  <c r="J14" i="3"/>
  <c r="I14" i="3"/>
  <c r="H14" i="3"/>
  <c r="G14" i="3"/>
  <c r="L8" i="3"/>
  <c r="M8" i="3" s="1"/>
  <c r="L6" i="3"/>
  <c r="M6" i="3" s="1"/>
  <c r="L2" i="3"/>
  <c r="M2" i="3" s="1"/>
  <c r="L4" i="3"/>
  <c r="M4" i="3" s="1"/>
  <c r="T127" i="2"/>
  <c r="S127" i="2"/>
  <c r="R127" i="2"/>
  <c r="Q127" i="2"/>
  <c r="N2" i="3" l="1"/>
</calcChain>
</file>

<file path=xl/sharedStrings.xml><?xml version="1.0" encoding="utf-8"?>
<sst xmlns="http://schemas.openxmlformats.org/spreadsheetml/2006/main" count="217" uniqueCount="169">
  <si>
    <t>Name</t>
  </si>
  <si>
    <t>Units</t>
  </si>
  <si>
    <t>mm</t>
  </si>
  <si>
    <t>MPa</t>
  </si>
  <si>
    <t>DP 0 (Current)</t>
  </si>
  <si>
    <t>DP 1</t>
  </si>
  <si>
    <t>DP 2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</si>
  <si>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</si>
  <si>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</si>
  <si>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</si>
  <si>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</si>
  <si>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</si>
  <si>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</si>
  <si>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</si>
  <si>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</si>
  <si>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</si>
  <si>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</si>
  <si>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</si>
  <si>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</si>
  <si>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</si>
  <si>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</si>
  <si>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</si>
  <si>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</si>
  <si>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19</t>
  </si>
  <si>
    <t>DP 20</t>
  </si>
  <si>
    <t>DP 21</t>
  </si>
  <si>
    <t>DP 22</t>
  </si>
  <si>
    <t>DP 23</t>
  </si>
  <si>
    <t>DP 24</t>
  </si>
  <si>
    <t>DP 25</t>
  </si>
  <si>
    <t>DP 26</t>
  </si>
  <si>
    <t>DP 27</t>
  </si>
  <si>
    <t>DP 28</t>
  </si>
  <si>
    <t>DP 29</t>
  </si>
  <si>
    <t>DP 30</t>
  </si>
  <si>
    <t>DP 31</t>
  </si>
  <si>
    <t>DP 32</t>
  </si>
  <si>
    <t>DP 33</t>
  </si>
  <si>
    <t>DP 34</t>
  </si>
  <si>
    <t>DP 35</t>
  </si>
  <si>
    <t>DP 36</t>
  </si>
  <si>
    <t>DP 37</t>
  </si>
  <si>
    <t>DP 38</t>
  </si>
  <si>
    <t>DP 39</t>
  </si>
  <si>
    <t>DP 40</t>
  </si>
  <si>
    <t>DP 41</t>
  </si>
  <si>
    <t>DP 42</t>
  </si>
  <si>
    <t>DP 43</t>
  </si>
  <si>
    <t>DP 44</t>
  </si>
  <si>
    <t>DP 45</t>
  </si>
  <si>
    <t>DP 46</t>
  </si>
  <si>
    <t>DP 47</t>
  </si>
  <si>
    <t>DP 48</t>
  </si>
  <si>
    <t>DP 49</t>
  </si>
  <si>
    <t>DP 50</t>
  </si>
  <si>
    <t>DP 51</t>
  </si>
  <si>
    <t>DP 52</t>
  </si>
  <si>
    <t>DP 53</t>
  </si>
  <si>
    <t>DP 54</t>
  </si>
  <si>
    <t>DP 55</t>
  </si>
  <si>
    <t>DP 56</t>
  </si>
  <si>
    <t>DP 57</t>
  </si>
  <si>
    <t>DP 58</t>
  </si>
  <si>
    <t>DP 59</t>
  </si>
  <si>
    <t>DP 60</t>
  </si>
  <si>
    <t>DP 61</t>
  </si>
  <si>
    <t>DP 62</t>
  </si>
  <si>
    <t>DP 63</t>
  </si>
  <si>
    <t>DP 64</t>
  </si>
  <si>
    <t>DP 65</t>
  </si>
  <si>
    <t>DP 66</t>
  </si>
  <si>
    <t>DP 67</t>
  </si>
  <si>
    <t>DP 68</t>
  </si>
  <si>
    <t>DP 69</t>
  </si>
  <si>
    <t>DP 70</t>
  </si>
  <si>
    <t>DP 71</t>
  </si>
  <si>
    <t>DP 72</t>
  </si>
  <si>
    <t>DP 73</t>
  </si>
  <si>
    <t>DP 74</t>
  </si>
  <si>
    <t>DP 75</t>
  </si>
  <si>
    <t>DP 76</t>
  </si>
  <si>
    <t>DP 77</t>
  </si>
  <si>
    <t>DP 78</t>
  </si>
  <si>
    <t>DP 79</t>
  </si>
  <si>
    <t>DP 80</t>
  </si>
  <si>
    <t>DP 81</t>
  </si>
  <si>
    <t>DP 82</t>
  </si>
  <si>
    <t>DP 83</t>
  </si>
  <si>
    <t>DP 84</t>
  </si>
  <si>
    <t>DP 85</t>
  </si>
  <si>
    <t>DP 86</t>
  </si>
  <si>
    <t>DP 87</t>
  </si>
  <si>
    <t>DP 88</t>
  </si>
  <si>
    <t>DP 89</t>
  </si>
  <si>
    <t>DP 90</t>
  </si>
  <si>
    <t>DP 91</t>
  </si>
  <si>
    <t>DP 92</t>
  </si>
  <si>
    <t>DP 93</t>
  </si>
  <si>
    <t>DP 94</t>
  </si>
  <si>
    <t>DP 95</t>
  </si>
  <si>
    <t>DP 96</t>
  </si>
  <si>
    <t>DP 97</t>
  </si>
  <si>
    <t>DP 98</t>
  </si>
  <si>
    <t>DP 99</t>
  </si>
  <si>
    <t>DP 100</t>
  </si>
  <si>
    <t>DP 101</t>
  </si>
  <si>
    <t>DP 102</t>
  </si>
  <si>
    <t>DP 103</t>
  </si>
  <si>
    <t>DP 104</t>
  </si>
  <si>
    <t>DP 105</t>
  </si>
  <si>
    <t>DP 106</t>
  </si>
  <si>
    <t>DP 107</t>
  </si>
  <si>
    <t>DP 108</t>
  </si>
  <si>
    <t>DP 109</t>
  </si>
  <si>
    <t>DP 110</t>
  </si>
  <si>
    <t>DP 111</t>
  </si>
  <si>
    <t>DP 112</t>
  </si>
  <si>
    <t>DP 113</t>
  </si>
  <si>
    <t>DP 114</t>
  </si>
  <si>
    <t>DP 115</t>
  </si>
  <si>
    <t>DP 116</t>
  </si>
  <si>
    <t>DP 117</t>
  </si>
  <si>
    <t>DP 118</t>
  </si>
  <si>
    <t>DP 119</t>
  </si>
  <si>
    <t>DP 120</t>
  </si>
  <si>
    <t>DP 121</t>
  </si>
  <si>
    <t>mm^3</t>
  </si>
  <si>
    <t>kg</t>
  </si>
  <si>
    <t>cycle</t>
  </si>
  <si>
    <t>x1</t>
  </si>
  <si>
    <t>x2</t>
  </si>
  <si>
    <t>x3</t>
  </si>
  <si>
    <t>x4</t>
  </si>
  <si>
    <t>x5</t>
  </si>
  <si>
    <t>x6</t>
  </si>
  <si>
    <t>x7</t>
  </si>
  <si>
    <t>x8</t>
  </si>
  <si>
    <t>Tot-Deformation-Max</t>
  </si>
  <si>
    <t>Stress-Max</t>
  </si>
  <si>
    <t>Life-Min</t>
  </si>
  <si>
    <t>Mass</t>
  </si>
  <si>
    <t>Volume</t>
  </si>
  <si>
    <t>1.Best</t>
  </si>
  <si>
    <t>0.9628</t>
  </si>
  <si>
    <t>0.8473</t>
  </si>
  <si>
    <t xml:space="preserve">0.9110 </t>
  </si>
  <si>
    <t>0.7883</t>
  </si>
  <si>
    <t>0.9622</t>
  </si>
  <si>
    <t>0.8678</t>
  </si>
  <si>
    <t>0.9022</t>
  </si>
  <si>
    <t>0.7896</t>
  </si>
  <si>
    <t>2.Best</t>
  </si>
  <si>
    <t>2.Deneme</t>
  </si>
  <si>
    <t>1.Deneme</t>
  </si>
  <si>
    <t>ağırlık</t>
  </si>
  <si>
    <t>3.Best</t>
  </si>
  <si>
    <t>3.Deneme</t>
  </si>
  <si>
    <t>4.Best</t>
  </si>
  <si>
    <t>4.Deneme</t>
  </si>
  <si>
    <t>5.Best</t>
  </si>
  <si>
    <t>5.Deneme</t>
  </si>
  <si>
    <t>6.Best</t>
  </si>
  <si>
    <t>6.Deneme</t>
  </si>
  <si>
    <t>7.Best</t>
  </si>
  <si>
    <t>7.Deneme</t>
  </si>
  <si>
    <t>8.Best</t>
  </si>
  <si>
    <t>8.Deneme</t>
  </si>
  <si>
    <t>9.Best</t>
  </si>
  <si>
    <t>9.Deneme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</si>
</sst>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Courier New"/>
      <family val="3"/>
      <charset val="162"/>
    </font>
    <font>
      <sz val="11"/>
      <color rgb="FFFF0000"/>
      <name val="Courier New"/>
      <family val="3"/>
      <charset val="162"/>
    </font>
    <font>
      <b/>
      <sz val="12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1" fontId="2" fillId="0" borderId="5" xfId="0" applyNumberFormat="1" applyFont="1" applyBorder="1" applyAlignment="1">
      <alignment horizontal="center" vertical="center"/>
    </xf>
    <xf numFmtId="11" fontId="2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10" fontId="6" fillId="2" borderId="0" xfId="1" applyNumberFormat="1" applyFont="1" applyFill="1" applyAlignment="1">
      <alignment horizontal="center"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B308-21E7-41EB-B63D-5665AE179694}">
  <dimension ref="A2:AA152"/>
  <sheetViews>
    <sheetView tabSelected="1" topLeftCell="A135" zoomScale="85" zoomScaleNormal="85" workbookViewId="0">
      <selection activeCell="S155" sqref="S155"/>
    </sheetView>
  </sheetViews>
  <sheetFormatPr defaultRowHeight="15" x14ac:dyDescent="0.25"/>
  <cols>
    <col min="1" max="1" width="11" style="1" customWidth="1"/>
    <col min="2" max="2" width="8" customWidth="1"/>
    <col min="3" max="10" width="8.140625" customWidth="1"/>
    <col min="11" max="11" width="16.85546875" style="1" customWidth="1"/>
    <col min="12" max="12" width="13.42578125" style="1" customWidth="1"/>
    <col min="13" max="13" width="11.42578125" style="1" customWidth="1"/>
    <col min="14" max="14" width="13" style="1" customWidth="1"/>
    <col min="15" max="15" width="13.5703125" style="1" customWidth="1"/>
    <col min="16" max="16" width="6.28515625" customWidth="1"/>
    <col min="17" max="20" width="9.85546875" style="20" customWidth="1"/>
  </cols>
  <sheetData>
    <row r="2" spans="2:15" x14ac:dyDescent="0.25">
      <c r="B2" t="s">
        <v>0</v>
      </c>
      <c r="C2" t="s">
        <v>129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  <c r="J2" t="s">
        <v>136</v>
      </c>
      <c r="K2" s="1" t="s">
        <v>137</v>
      </c>
      <c r="L2" s="1" t="s">
        <v>138</v>
      </c>
      <c r="M2" s="1" t="s">
        <v>139</v>
      </c>
      <c r="N2" s="1" t="s">
        <v>140</v>
      </c>
      <c r="O2" s="1" t="s">
        <v>141</v>
      </c>
    </row>
    <row r="3" spans="2:15" x14ac:dyDescent="0.25">
      <c r="B3" t="s">
        <v>1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s="1" t="s">
        <v>2</v>
      </c>
      <c r="L3" s="1" t="s">
        <v>3</v>
      </c>
      <c r="M3" s="2" t="s">
        <v>128</v>
      </c>
      <c r="N3" s="1" t="s">
        <v>127</v>
      </c>
      <c r="O3" s="1" t="s">
        <v>126</v>
      </c>
    </row>
    <row r="4" spans="2:15" x14ac:dyDescent="0.25">
      <c r="B4" t="s">
        <v>4</v>
      </c>
      <c r="C4">
        <v>260</v>
      </c>
      <c r="D4">
        <v>37.5</v>
      </c>
      <c r="E4">
        <v>60</v>
      </c>
      <c r="F4">
        <v>42.5</v>
      </c>
      <c r="G4">
        <v>25</v>
      </c>
      <c r="H4">
        <v>95</v>
      </c>
      <c r="I4">
        <v>80</v>
      </c>
      <c r="J4">
        <v>100</v>
      </c>
      <c r="K4">
        <v>0.16859268401626701</v>
      </c>
      <c r="L4">
        <v>130.735399617881</v>
      </c>
      <c r="M4" s="3">
        <v>6379323.69920447</v>
      </c>
      <c r="N4">
        <v>1.1143544069393001</v>
      </c>
      <c r="O4" s="3">
        <v>141955.97540627999</v>
      </c>
    </row>
    <row r="5" spans="2:15" x14ac:dyDescent="0.25">
      <c r="B5" t="s">
        <v>5</v>
      </c>
      <c r="C5">
        <v>63.01</v>
      </c>
      <c r="D5">
        <v>3.01</v>
      </c>
      <c r="E5">
        <v>20.010000000000002</v>
      </c>
      <c r="F5">
        <v>13.51</v>
      </c>
      <c r="G5">
        <v>5</v>
      </c>
      <c r="H5">
        <v>5</v>
      </c>
      <c r="I5">
        <v>7</v>
      </c>
      <c r="J5">
        <v>7</v>
      </c>
      <c r="K5">
        <v>0.16067000000000001</v>
      </c>
      <c r="L5">
        <v>124.19</v>
      </c>
      <c r="M5" s="3">
        <v>17456000</v>
      </c>
      <c r="N5">
        <v>1.5354000000000001</v>
      </c>
      <c r="O5" s="3">
        <v>195590</v>
      </c>
    </row>
    <row r="6" spans="2:15" x14ac:dyDescent="0.25">
      <c r="B6" t="s">
        <v>6</v>
      </c>
      <c r="C6">
        <v>201.274</v>
      </c>
      <c r="D6">
        <v>8.6319999999999997</v>
      </c>
      <c r="E6">
        <v>28.055</v>
      </c>
      <c r="F6">
        <v>21.555</v>
      </c>
      <c r="G6">
        <v>12.984</v>
      </c>
      <c r="H6">
        <v>83.018000000000001</v>
      </c>
      <c r="I6">
        <v>79.537000000000006</v>
      </c>
      <c r="J6">
        <v>56.765999999999998</v>
      </c>
      <c r="K6">
        <v>0.163490780619235</v>
      </c>
      <c r="L6">
        <v>126.2939206237</v>
      </c>
      <c r="M6" s="3">
        <v>12567750.907814</v>
      </c>
      <c r="N6">
        <v>1.4036267847558099</v>
      </c>
      <c r="O6" s="3">
        <v>178805.95984150501</v>
      </c>
    </row>
    <row r="7" spans="2:15" x14ac:dyDescent="0.25">
      <c r="B7" t="s">
        <v>7</v>
      </c>
      <c r="C7">
        <v>93.99</v>
      </c>
      <c r="D7">
        <v>20.126000000000001</v>
      </c>
      <c r="E7">
        <v>21.219000000000001</v>
      </c>
      <c r="F7">
        <v>22.707999999999998</v>
      </c>
      <c r="G7">
        <v>5.3929999999999998</v>
      </c>
      <c r="H7">
        <v>61.383000000000003</v>
      </c>
      <c r="I7">
        <v>35.93</v>
      </c>
      <c r="J7">
        <v>48.673999999999999</v>
      </c>
      <c r="K7">
        <v>0.16179282246914301</v>
      </c>
      <c r="L7">
        <v>124.97859740189099</v>
      </c>
      <c r="M7" s="3">
        <v>15420816.735550201</v>
      </c>
      <c r="N7">
        <v>1.4719543757356699</v>
      </c>
      <c r="O7" s="3">
        <v>187510.111558684</v>
      </c>
    </row>
    <row r="8" spans="2:15" x14ac:dyDescent="0.25">
      <c r="B8" t="s">
        <v>8</v>
      </c>
      <c r="C8">
        <v>247.59899999999999</v>
      </c>
      <c r="D8">
        <v>15.638</v>
      </c>
      <c r="E8">
        <v>37.396000000000001</v>
      </c>
      <c r="F8">
        <v>23.986999999999998</v>
      </c>
      <c r="G8">
        <v>15.04</v>
      </c>
      <c r="H8">
        <v>15.984</v>
      </c>
      <c r="I8">
        <v>55.683999999999997</v>
      </c>
      <c r="J8">
        <v>86.908000000000001</v>
      </c>
      <c r="K8">
        <v>0.16443174951550099</v>
      </c>
      <c r="L8">
        <v>126.85581880040399</v>
      </c>
      <c r="M8" s="3">
        <v>11522182.521758599</v>
      </c>
      <c r="N8">
        <v>1.3660696919233299</v>
      </c>
      <c r="O8" s="3">
        <v>174021.61680551901</v>
      </c>
    </row>
    <row r="9" spans="2:15" x14ac:dyDescent="0.25">
      <c r="B9" t="s">
        <v>9</v>
      </c>
      <c r="C9">
        <v>104.413</v>
      </c>
      <c r="D9">
        <v>25.946999999999999</v>
      </c>
      <c r="E9">
        <v>29.518999999999998</v>
      </c>
      <c r="F9">
        <v>13.983000000000001</v>
      </c>
      <c r="G9">
        <v>5.8079999999999998</v>
      </c>
      <c r="H9">
        <v>47.988</v>
      </c>
      <c r="I9">
        <v>31.489000000000001</v>
      </c>
      <c r="J9">
        <v>33.375</v>
      </c>
      <c r="K9">
        <v>0.16132872143445201</v>
      </c>
      <c r="L9">
        <v>124.688196905735</v>
      </c>
      <c r="M9" s="3">
        <v>16137202.037984399</v>
      </c>
      <c r="N9">
        <v>1.47198872524827</v>
      </c>
      <c r="O9" s="3">
        <v>187514.48729277399</v>
      </c>
    </row>
    <row r="10" spans="2:15" x14ac:dyDescent="0.25">
      <c r="B10" t="s">
        <v>10</v>
      </c>
      <c r="C10">
        <v>87.099000000000004</v>
      </c>
      <c r="D10">
        <v>25.609000000000002</v>
      </c>
      <c r="E10">
        <v>23.518999999999998</v>
      </c>
      <c r="F10">
        <v>39.314</v>
      </c>
      <c r="G10">
        <v>22.145</v>
      </c>
      <c r="H10">
        <v>84.893000000000001</v>
      </c>
      <c r="I10">
        <v>25.111999999999998</v>
      </c>
      <c r="J10">
        <v>66.930999999999997</v>
      </c>
      <c r="K10">
        <v>0.16198120681609601</v>
      </c>
      <c r="L10">
        <v>125.045153166323</v>
      </c>
      <c r="M10" s="3">
        <v>15261351.0497826</v>
      </c>
      <c r="N10">
        <v>1.4275529826970399</v>
      </c>
      <c r="O10" s="3">
        <v>181853.88314612</v>
      </c>
    </row>
    <row r="11" spans="2:15" x14ac:dyDescent="0.25">
      <c r="B11" t="s">
        <v>11</v>
      </c>
      <c r="C11">
        <v>103.33199999999999</v>
      </c>
      <c r="D11">
        <v>36.398000000000003</v>
      </c>
      <c r="E11">
        <v>21.776</v>
      </c>
      <c r="F11">
        <v>41.7</v>
      </c>
      <c r="G11">
        <v>18.695</v>
      </c>
      <c r="H11">
        <v>74.896000000000001</v>
      </c>
      <c r="I11">
        <v>63.338999999999999</v>
      </c>
      <c r="J11">
        <v>14.526999999999999</v>
      </c>
      <c r="K11">
        <v>0.161231053833892</v>
      </c>
      <c r="L11">
        <v>124.680868589694</v>
      </c>
      <c r="M11" s="3">
        <v>16155722.6557697</v>
      </c>
      <c r="N11">
        <v>1.42218409327952</v>
      </c>
      <c r="O11" s="3">
        <v>181169.94818847501</v>
      </c>
    </row>
    <row r="12" spans="2:15" x14ac:dyDescent="0.25">
      <c r="B12" t="s">
        <v>12</v>
      </c>
      <c r="C12">
        <v>224.40600000000001</v>
      </c>
      <c r="D12">
        <v>35.448</v>
      </c>
      <c r="E12">
        <v>34.273000000000003</v>
      </c>
      <c r="F12">
        <v>37.908000000000001</v>
      </c>
      <c r="G12">
        <v>10.036</v>
      </c>
      <c r="H12">
        <v>76.501000000000005</v>
      </c>
      <c r="I12">
        <v>66.188000000000002</v>
      </c>
      <c r="J12">
        <v>49.02</v>
      </c>
      <c r="K12">
        <v>0.16352448099304701</v>
      </c>
      <c r="L12">
        <v>126.803120291686</v>
      </c>
      <c r="M12" s="3">
        <v>11616271.887614099</v>
      </c>
      <c r="N12">
        <v>1.29900115214338</v>
      </c>
      <c r="O12" s="3">
        <v>165477.85377622701</v>
      </c>
    </row>
    <row r="13" spans="2:15" x14ac:dyDescent="0.25">
      <c r="B13" t="s">
        <v>13</v>
      </c>
      <c r="C13">
        <v>73.748000000000005</v>
      </c>
      <c r="D13">
        <v>25.265000000000001</v>
      </c>
      <c r="E13">
        <v>39.957999999999998</v>
      </c>
      <c r="F13">
        <v>38.124000000000002</v>
      </c>
      <c r="G13">
        <v>16.555</v>
      </c>
      <c r="H13">
        <v>40.646999999999998</v>
      </c>
      <c r="I13">
        <v>70.531000000000006</v>
      </c>
      <c r="J13">
        <v>13.382</v>
      </c>
      <c r="K13">
        <v>0.161219097323162</v>
      </c>
      <c r="L13">
        <v>124.68227049540801</v>
      </c>
      <c r="M13" s="3">
        <v>16152177.951137301</v>
      </c>
      <c r="N13">
        <v>1.4611610498112899</v>
      </c>
      <c r="O13" s="3">
        <v>186135.165581056</v>
      </c>
    </row>
    <row r="14" spans="2:15" x14ac:dyDescent="0.25">
      <c r="B14" t="s">
        <v>14</v>
      </c>
      <c r="C14">
        <v>186.72800000000001</v>
      </c>
      <c r="D14">
        <v>19.521000000000001</v>
      </c>
      <c r="E14">
        <v>40.817999999999998</v>
      </c>
      <c r="F14">
        <v>30.831</v>
      </c>
      <c r="G14">
        <v>14.994999999999999</v>
      </c>
      <c r="H14">
        <v>70.671999999999997</v>
      </c>
      <c r="I14">
        <v>34.853000000000002</v>
      </c>
      <c r="J14">
        <v>36.908000000000001</v>
      </c>
      <c r="K14">
        <v>0.16164056703968099</v>
      </c>
      <c r="L14">
        <v>125.013555302833</v>
      </c>
      <c r="M14" s="3">
        <v>15336843.1867173</v>
      </c>
      <c r="N14">
        <v>1.4170771629929</v>
      </c>
      <c r="O14" s="3">
        <v>180519.38382075101</v>
      </c>
    </row>
    <row r="15" spans="2:15" x14ac:dyDescent="0.25">
      <c r="B15" t="s">
        <v>15</v>
      </c>
      <c r="C15">
        <v>117.423</v>
      </c>
      <c r="D15">
        <v>23.062000000000001</v>
      </c>
      <c r="E15">
        <v>58.648000000000003</v>
      </c>
      <c r="F15">
        <v>34.701000000000001</v>
      </c>
      <c r="G15">
        <v>18.117999999999999</v>
      </c>
      <c r="H15">
        <v>79.504000000000005</v>
      </c>
      <c r="I15">
        <v>19.436</v>
      </c>
      <c r="J15">
        <v>37.392000000000003</v>
      </c>
      <c r="K15">
        <v>0.16125122888135801</v>
      </c>
      <c r="L15">
        <v>124.677422685746</v>
      </c>
      <c r="M15" s="3">
        <v>16164439.0366222</v>
      </c>
      <c r="N15">
        <v>1.4237361066455201</v>
      </c>
      <c r="O15" s="3">
        <v>181367.65689751899</v>
      </c>
    </row>
    <row r="16" spans="2:15" x14ac:dyDescent="0.25">
      <c r="B16" t="s">
        <v>16</v>
      </c>
      <c r="C16">
        <v>139.07400000000001</v>
      </c>
      <c r="D16">
        <v>26.748999999999999</v>
      </c>
      <c r="E16">
        <v>56.063000000000002</v>
      </c>
      <c r="F16">
        <v>15.644</v>
      </c>
      <c r="G16">
        <v>15.33</v>
      </c>
      <c r="H16">
        <v>54.432000000000002</v>
      </c>
      <c r="I16">
        <v>16.294</v>
      </c>
      <c r="J16">
        <v>31.442</v>
      </c>
      <c r="K16">
        <v>0.161126111401974</v>
      </c>
      <c r="L16">
        <v>124.575410910689</v>
      </c>
      <c r="M16" s="3">
        <v>16424710.210495399</v>
      </c>
      <c r="N16">
        <v>1.4427028376781801</v>
      </c>
      <c r="O16" s="3">
        <v>183783.80097811201</v>
      </c>
    </row>
    <row r="17" spans="2:15" x14ac:dyDescent="0.25">
      <c r="B17" t="s">
        <v>17</v>
      </c>
      <c r="C17">
        <v>128.40899999999999</v>
      </c>
      <c r="D17">
        <v>8.9019999999999992</v>
      </c>
      <c r="E17">
        <v>43.62</v>
      </c>
      <c r="F17">
        <v>18.414999999999999</v>
      </c>
      <c r="G17">
        <v>19.091999999999999</v>
      </c>
      <c r="H17">
        <v>62.463999999999999</v>
      </c>
      <c r="I17">
        <v>12.9</v>
      </c>
      <c r="J17">
        <v>53.786999999999999</v>
      </c>
      <c r="K17">
        <v>0.16127739736645599</v>
      </c>
      <c r="L17">
        <v>124.518586521242</v>
      </c>
      <c r="M17" s="3">
        <v>16571582.128066201</v>
      </c>
      <c r="N17">
        <v>1.48413367524289</v>
      </c>
      <c r="O17" s="3">
        <v>189061.614680623</v>
      </c>
    </row>
    <row r="18" spans="2:15" x14ac:dyDescent="0.25">
      <c r="B18" t="s">
        <v>18</v>
      </c>
      <c r="C18">
        <v>259.40600000000001</v>
      </c>
      <c r="D18">
        <v>4.7089999999999996</v>
      </c>
      <c r="E18">
        <v>38.633000000000003</v>
      </c>
      <c r="F18">
        <v>36.710999999999999</v>
      </c>
      <c r="G18">
        <v>13.182</v>
      </c>
      <c r="H18">
        <v>57.725000000000001</v>
      </c>
      <c r="I18">
        <v>51.247</v>
      </c>
      <c r="J18">
        <v>9.3490000000000002</v>
      </c>
      <c r="K18">
        <v>0.16095564032499901</v>
      </c>
      <c r="L18">
        <v>124.388593067786</v>
      </c>
      <c r="M18" s="3">
        <v>16912743.781133901</v>
      </c>
      <c r="N18">
        <v>1.48320965406796</v>
      </c>
      <c r="O18" s="3">
        <v>188943.90497681001</v>
      </c>
    </row>
    <row r="19" spans="2:15" x14ac:dyDescent="0.25">
      <c r="B19" t="s">
        <v>19</v>
      </c>
      <c r="C19">
        <v>99.488</v>
      </c>
      <c r="D19">
        <v>28.097000000000001</v>
      </c>
      <c r="E19">
        <v>50.518999999999998</v>
      </c>
      <c r="F19">
        <v>22.623999999999999</v>
      </c>
      <c r="G19">
        <v>6.984</v>
      </c>
      <c r="H19">
        <v>90.572999999999993</v>
      </c>
      <c r="I19">
        <v>76.072999999999993</v>
      </c>
      <c r="J19">
        <v>33.192999999999998</v>
      </c>
      <c r="K19">
        <v>0.16214972969970701</v>
      </c>
      <c r="L19">
        <v>125.341396687616</v>
      </c>
      <c r="M19" s="3">
        <v>14572138.541848799</v>
      </c>
      <c r="N19">
        <v>1.4200947163058999</v>
      </c>
      <c r="O19" s="3">
        <v>180903.78551667501</v>
      </c>
    </row>
    <row r="20" spans="2:15" x14ac:dyDescent="0.25">
      <c r="B20" t="s">
        <v>20</v>
      </c>
      <c r="C20">
        <v>165.92699999999999</v>
      </c>
      <c r="D20">
        <v>31.873000000000001</v>
      </c>
      <c r="E20">
        <v>23.95</v>
      </c>
      <c r="F20">
        <v>40.119</v>
      </c>
      <c r="G20">
        <v>7.04</v>
      </c>
      <c r="H20">
        <v>10.46</v>
      </c>
      <c r="I20">
        <v>55.404000000000003</v>
      </c>
      <c r="J20">
        <v>28.213999999999999</v>
      </c>
      <c r="K20">
        <v>0.16230302804761201</v>
      </c>
      <c r="L20">
        <v>125.791295146187</v>
      </c>
      <c r="M20" s="3">
        <v>13586854.9687756</v>
      </c>
      <c r="N20">
        <v>1.34574030774675</v>
      </c>
      <c r="O20" s="3">
        <v>171431.88633716499</v>
      </c>
    </row>
    <row r="21" spans="2:15" x14ac:dyDescent="0.25">
      <c r="B21" t="s">
        <v>21</v>
      </c>
      <c r="C21">
        <v>236.059</v>
      </c>
      <c r="D21">
        <v>10.009</v>
      </c>
      <c r="E21">
        <v>52.307000000000002</v>
      </c>
      <c r="F21">
        <v>39.017000000000003</v>
      </c>
      <c r="G21">
        <v>11.326000000000001</v>
      </c>
      <c r="H21">
        <v>45.88</v>
      </c>
      <c r="I21">
        <v>48.774000000000001</v>
      </c>
      <c r="J21">
        <v>38.662999999999997</v>
      </c>
      <c r="K21">
        <v>0.16192097045349901</v>
      </c>
      <c r="L21">
        <v>125.210869988756</v>
      </c>
      <c r="M21" s="3">
        <v>14871722.3467458</v>
      </c>
      <c r="N21">
        <v>1.42572566165371</v>
      </c>
      <c r="O21" s="3">
        <v>181621.10339537699</v>
      </c>
    </row>
    <row r="22" spans="2:15" x14ac:dyDescent="0.25">
      <c r="B22" t="s">
        <v>22</v>
      </c>
      <c r="C22">
        <v>153.12700000000001</v>
      </c>
      <c r="D22">
        <v>5.14</v>
      </c>
      <c r="E22">
        <v>44.613999999999997</v>
      </c>
      <c r="F22">
        <v>17.152000000000001</v>
      </c>
      <c r="G22">
        <v>20.402999999999999</v>
      </c>
      <c r="H22">
        <v>78.239999999999995</v>
      </c>
      <c r="I22">
        <v>58.957000000000001</v>
      </c>
      <c r="J22">
        <v>34.881999999999998</v>
      </c>
      <c r="K22">
        <v>0.161845810639688</v>
      </c>
      <c r="L22">
        <v>124.27588598329601</v>
      </c>
      <c r="M22" s="3">
        <v>17214464.1158152</v>
      </c>
      <c r="N22">
        <v>1.44641947763289</v>
      </c>
      <c r="O22" s="3">
        <v>184257.258297183</v>
      </c>
    </row>
    <row r="23" spans="2:15" x14ac:dyDescent="0.25">
      <c r="B23" t="s">
        <v>23</v>
      </c>
      <c r="C23">
        <v>233.803</v>
      </c>
      <c r="D23">
        <v>35.637</v>
      </c>
      <c r="E23">
        <v>33.411999999999999</v>
      </c>
      <c r="F23">
        <v>27.26</v>
      </c>
      <c r="G23">
        <v>17.919</v>
      </c>
      <c r="H23">
        <v>6.1319999999999997</v>
      </c>
      <c r="I23">
        <v>7.0380000000000003</v>
      </c>
      <c r="J23">
        <v>98.007000000000005</v>
      </c>
      <c r="K23">
        <v>0.162678416479836</v>
      </c>
      <c r="L23">
        <v>125.772189896518</v>
      </c>
      <c r="M23" s="3">
        <v>13627250.801911</v>
      </c>
      <c r="N23">
        <v>1.36226747774345</v>
      </c>
      <c r="O23" s="3">
        <v>173537.258311268</v>
      </c>
    </row>
    <row r="24" spans="2:15" x14ac:dyDescent="0.25">
      <c r="B24" t="s">
        <v>24</v>
      </c>
      <c r="C24">
        <v>96.706000000000003</v>
      </c>
      <c r="D24">
        <v>35.124000000000002</v>
      </c>
      <c r="E24">
        <v>53.890999999999998</v>
      </c>
      <c r="F24">
        <v>16.765999999999998</v>
      </c>
      <c r="G24">
        <v>14.427</v>
      </c>
      <c r="H24">
        <v>5.734</v>
      </c>
      <c r="I24">
        <v>18.056000000000001</v>
      </c>
      <c r="J24">
        <v>55.13</v>
      </c>
      <c r="K24">
        <v>0.161535530836796</v>
      </c>
      <c r="L24">
        <v>124.81970644449299</v>
      </c>
      <c r="M24" s="3">
        <v>15808578.3548072</v>
      </c>
      <c r="N24">
        <v>1.4538010383603099</v>
      </c>
      <c r="O24" s="3">
        <v>185197.58450449799</v>
      </c>
    </row>
    <row r="25" spans="2:15" x14ac:dyDescent="0.25">
      <c r="B25" t="s">
        <v>25</v>
      </c>
      <c r="C25">
        <v>116.952</v>
      </c>
      <c r="D25">
        <v>21.533000000000001</v>
      </c>
      <c r="E25">
        <v>29.305</v>
      </c>
      <c r="F25">
        <v>30.257999999999999</v>
      </c>
      <c r="G25">
        <v>24.286000000000001</v>
      </c>
      <c r="H25">
        <v>48.755000000000003</v>
      </c>
      <c r="I25">
        <v>38.191000000000003</v>
      </c>
      <c r="J25">
        <v>35.853999999999999</v>
      </c>
      <c r="K25">
        <v>0.16152277582352001</v>
      </c>
      <c r="L25">
        <v>124.80094962047001</v>
      </c>
      <c r="M25" s="3">
        <v>15855019.1729529</v>
      </c>
      <c r="N25">
        <v>1.44241823829328</v>
      </c>
      <c r="O25" s="3">
        <v>183747.54627939899</v>
      </c>
    </row>
    <row r="26" spans="2:15" x14ac:dyDescent="0.25">
      <c r="B26" t="s">
        <v>26</v>
      </c>
      <c r="C26">
        <v>194.16</v>
      </c>
      <c r="D26">
        <v>30.050999999999998</v>
      </c>
      <c r="E26">
        <v>57.256999999999998</v>
      </c>
      <c r="F26">
        <v>14.709</v>
      </c>
      <c r="G26">
        <v>8.4079999999999995</v>
      </c>
      <c r="H26">
        <v>31.722000000000001</v>
      </c>
      <c r="I26">
        <v>37.520000000000003</v>
      </c>
      <c r="J26">
        <v>52.098999999999997</v>
      </c>
      <c r="K26">
        <v>0.162364550522758</v>
      </c>
      <c r="L26">
        <v>125.668635712395</v>
      </c>
      <c r="M26" s="3">
        <v>13848393.018433999</v>
      </c>
      <c r="N26">
        <v>1.38472120517574</v>
      </c>
      <c r="O26" s="3">
        <v>176397.60575487101</v>
      </c>
    </row>
    <row r="27" spans="2:15" x14ac:dyDescent="0.25">
      <c r="B27" t="s">
        <v>27</v>
      </c>
      <c r="C27">
        <v>249.63</v>
      </c>
      <c r="D27">
        <v>16.532</v>
      </c>
      <c r="E27">
        <v>35.908999999999999</v>
      </c>
      <c r="F27">
        <v>14.11</v>
      </c>
      <c r="G27">
        <v>10.291</v>
      </c>
      <c r="H27">
        <v>35.048000000000002</v>
      </c>
      <c r="I27">
        <v>59.825000000000003</v>
      </c>
      <c r="J27">
        <v>42.615000000000002</v>
      </c>
      <c r="K27">
        <v>0.162440259870272</v>
      </c>
      <c r="L27">
        <v>125.614888202705</v>
      </c>
      <c r="M27" s="3">
        <v>13964643.5076201</v>
      </c>
      <c r="N27">
        <v>1.4113067809188999</v>
      </c>
      <c r="O27" s="3">
        <v>179784.303301771</v>
      </c>
    </row>
    <row r="28" spans="2:15" x14ac:dyDescent="0.25">
      <c r="B28" t="s">
        <v>28</v>
      </c>
      <c r="C28">
        <v>190.339</v>
      </c>
      <c r="D28">
        <v>13.647</v>
      </c>
      <c r="E28">
        <v>45.372999999999998</v>
      </c>
      <c r="F28">
        <v>25.167000000000002</v>
      </c>
      <c r="G28">
        <v>21.184999999999999</v>
      </c>
      <c r="H28">
        <v>77.08</v>
      </c>
      <c r="I28">
        <v>40.143000000000001</v>
      </c>
      <c r="J28">
        <v>71.08</v>
      </c>
      <c r="K28">
        <v>0.16280197620095299</v>
      </c>
      <c r="L28">
        <v>125.659063873696</v>
      </c>
      <c r="M28" s="3">
        <v>13869021.8841097</v>
      </c>
      <c r="N28">
        <v>1.3979211001965299</v>
      </c>
      <c r="O28" s="3">
        <v>178079.12104414499</v>
      </c>
    </row>
    <row r="29" spans="2:15" x14ac:dyDescent="0.25">
      <c r="B29" t="s">
        <v>29</v>
      </c>
      <c r="C29">
        <v>209.48500000000001</v>
      </c>
      <c r="D29">
        <v>22.077000000000002</v>
      </c>
      <c r="E29">
        <v>35.548000000000002</v>
      </c>
      <c r="F29">
        <v>25.082999999999998</v>
      </c>
      <c r="G29">
        <v>12.209</v>
      </c>
      <c r="H29">
        <v>39.302999999999997</v>
      </c>
      <c r="I29">
        <v>50.23</v>
      </c>
      <c r="J29">
        <v>16.113</v>
      </c>
      <c r="K29">
        <v>0.161359843308266</v>
      </c>
      <c r="L29">
        <v>124.875617868154</v>
      </c>
      <c r="M29" s="3">
        <v>15670984.401005199</v>
      </c>
      <c r="N29">
        <v>1.4257906190235401</v>
      </c>
      <c r="O29" s="3">
        <v>181629.37821955999</v>
      </c>
    </row>
    <row r="30" spans="2:15" x14ac:dyDescent="0.25">
      <c r="B30" t="s">
        <v>30</v>
      </c>
      <c r="C30">
        <v>174.43600000000001</v>
      </c>
      <c r="D30">
        <v>29.788</v>
      </c>
      <c r="E30">
        <v>49.618000000000002</v>
      </c>
      <c r="F30">
        <v>38.832999999999998</v>
      </c>
      <c r="G30">
        <v>9.9</v>
      </c>
      <c r="H30">
        <v>33.594000000000001</v>
      </c>
      <c r="I30">
        <v>17.222000000000001</v>
      </c>
      <c r="J30">
        <v>84.259</v>
      </c>
      <c r="K30">
        <v>0.162894251617101</v>
      </c>
      <c r="L30">
        <v>126.023601660266</v>
      </c>
      <c r="M30" s="3">
        <v>13105536.142376101</v>
      </c>
      <c r="N30">
        <v>1.33453937852097</v>
      </c>
      <c r="O30" s="3">
        <v>170005.01637209801</v>
      </c>
    </row>
    <row r="31" spans="2:15" x14ac:dyDescent="0.25">
      <c r="B31" t="s">
        <v>31</v>
      </c>
      <c r="C31">
        <v>84.715999999999994</v>
      </c>
      <c r="D31">
        <v>12.79</v>
      </c>
      <c r="E31">
        <v>47.503</v>
      </c>
      <c r="F31">
        <v>26.038</v>
      </c>
      <c r="G31">
        <v>20.998000000000001</v>
      </c>
      <c r="H31">
        <v>7.0780000000000003</v>
      </c>
      <c r="I31">
        <v>29.428000000000001</v>
      </c>
      <c r="J31">
        <v>76.224999999999994</v>
      </c>
      <c r="K31">
        <v>0.16243040047645399</v>
      </c>
      <c r="L31">
        <v>125.27697958268701</v>
      </c>
      <c r="M31" s="3">
        <v>14719193.918531301</v>
      </c>
      <c r="N31">
        <v>1.46687554157925</v>
      </c>
      <c r="O31" s="3">
        <v>186863.12631582801</v>
      </c>
    </row>
    <row r="32" spans="2:15" x14ac:dyDescent="0.25">
      <c r="B32" t="s">
        <v>32</v>
      </c>
      <c r="C32">
        <v>243.38399999999999</v>
      </c>
      <c r="D32">
        <v>10.912000000000001</v>
      </c>
      <c r="E32">
        <v>29.776</v>
      </c>
      <c r="F32">
        <v>21.1</v>
      </c>
      <c r="G32">
        <v>17.8</v>
      </c>
      <c r="H32">
        <v>68.147000000000006</v>
      </c>
      <c r="I32">
        <v>26.030999999999999</v>
      </c>
      <c r="J32">
        <v>94.001999999999995</v>
      </c>
      <c r="K32">
        <v>0.16304036995934201</v>
      </c>
      <c r="L32">
        <v>125.615690630302</v>
      </c>
      <c r="M32" s="3">
        <v>13962900.4772454</v>
      </c>
      <c r="N32">
        <v>1.42307430595992</v>
      </c>
      <c r="O32" s="3">
        <v>181283.35107769701</v>
      </c>
    </row>
    <row r="33" spans="2:15" x14ac:dyDescent="0.25">
      <c r="B33" t="s">
        <v>33</v>
      </c>
      <c r="C33">
        <v>143.232</v>
      </c>
      <c r="D33">
        <v>23.956</v>
      </c>
      <c r="E33">
        <v>57.691000000000003</v>
      </c>
      <c r="F33">
        <v>15.347</v>
      </c>
      <c r="G33">
        <v>13.782999999999999</v>
      </c>
      <c r="H33">
        <v>63.884</v>
      </c>
      <c r="I33">
        <v>57.697000000000003</v>
      </c>
      <c r="J33">
        <v>11.683999999999999</v>
      </c>
      <c r="K33">
        <v>0.161120716370414</v>
      </c>
      <c r="L33">
        <v>124.601965979818</v>
      </c>
      <c r="M33" s="3">
        <v>16356540.1930138</v>
      </c>
      <c r="N33">
        <v>1.44412768206019</v>
      </c>
      <c r="O33" s="3">
        <v>183965.30981658501</v>
      </c>
    </row>
    <row r="34" spans="2:15" x14ac:dyDescent="0.25">
      <c r="B34" t="s">
        <v>34</v>
      </c>
      <c r="C34">
        <v>197.15</v>
      </c>
      <c r="D34">
        <v>36.658999999999999</v>
      </c>
      <c r="E34">
        <v>50.326999999999998</v>
      </c>
      <c r="F34">
        <v>37.051000000000002</v>
      </c>
      <c r="G34">
        <v>22.561</v>
      </c>
      <c r="H34">
        <v>41.670999999999999</v>
      </c>
      <c r="I34">
        <v>28.815000000000001</v>
      </c>
      <c r="J34">
        <v>77.2</v>
      </c>
      <c r="K34">
        <v>0.16326134113024299</v>
      </c>
      <c r="L34">
        <v>126.439334332857</v>
      </c>
      <c r="M34" s="3">
        <v>12288022.117618199</v>
      </c>
      <c r="N34">
        <v>1.31881501972403</v>
      </c>
      <c r="O34" s="3">
        <v>168001.91334064101</v>
      </c>
    </row>
    <row r="35" spans="2:15" x14ac:dyDescent="0.25">
      <c r="B35" t="s">
        <v>35</v>
      </c>
      <c r="C35">
        <v>123.804</v>
      </c>
      <c r="D35">
        <v>28.706</v>
      </c>
      <c r="E35">
        <v>39.360999999999997</v>
      </c>
      <c r="F35">
        <v>35.783000000000001</v>
      </c>
      <c r="G35">
        <v>6.5890000000000004</v>
      </c>
      <c r="H35">
        <v>88.411000000000001</v>
      </c>
      <c r="I35">
        <v>48.356000000000002</v>
      </c>
      <c r="J35">
        <v>93.715000000000003</v>
      </c>
      <c r="K35">
        <v>0.16439003718478201</v>
      </c>
      <c r="L35">
        <v>126.76802360204999</v>
      </c>
      <c r="M35" s="3">
        <v>11679378.4357804</v>
      </c>
      <c r="N35">
        <v>1.3615987035377199</v>
      </c>
      <c r="O35" s="3">
        <v>173452.06414493301</v>
      </c>
    </row>
    <row r="36" spans="2:15" x14ac:dyDescent="0.25">
      <c r="B36" t="s">
        <v>36</v>
      </c>
      <c r="C36">
        <v>220.88200000000001</v>
      </c>
      <c r="D36">
        <v>29.222999999999999</v>
      </c>
      <c r="E36">
        <v>48.924999999999997</v>
      </c>
      <c r="F36">
        <v>17.73</v>
      </c>
      <c r="G36">
        <v>13.066000000000001</v>
      </c>
      <c r="H36">
        <v>66.599000000000004</v>
      </c>
      <c r="I36">
        <v>61.991</v>
      </c>
      <c r="J36">
        <v>75.655000000000001</v>
      </c>
      <c r="K36">
        <v>0.16443669620318099</v>
      </c>
      <c r="L36">
        <v>127.145909690972</v>
      </c>
      <c r="M36" s="3">
        <v>11018275.582775701</v>
      </c>
      <c r="N36">
        <v>1.3065347689004501</v>
      </c>
      <c r="O36" s="3">
        <v>166437.550178401</v>
      </c>
    </row>
    <row r="37" spans="2:15" x14ac:dyDescent="0.25">
      <c r="B37" t="s">
        <v>37</v>
      </c>
      <c r="C37">
        <v>114.926</v>
      </c>
      <c r="D37">
        <v>9.4979999999999993</v>
      </c>
      <c r="E37">
        <v>32.789000000000001</v>
      </c>
      <c r="F37">
        <v>35.284999999999997</v>
      </c>
      <c r="G37">
        <v>24.923999999999999</v>
      </c>
      <c r="H37">
        <v>26.564</v>
      </c>
      <c r="I37">
        <v>70.123000000000005</v>
      </c>
      <c r="J37">
        <v>62.997</v>
      </c>
      <c r="K37">
        <v>0.16344367522078301</v>
      </c>
      <c r="L37">
        <v>126.134875660052</v>
      </c>
      <c r="M37" s="3">
        <v>12881314.537548199</v>
      </c>
      <c r="N37">
        <v>1.4155370036699799</v>
      </c>
      <c r="O37" s="3">
        <v>180323.18518089</v>
      </c>
    </row>
    <row r="38" spans="2:15" x14ac:dyDescent="0.25">
      <c r="B38" t="s">
        <v>38</v>
      </c>
      <c r="C38">
        <v>174.93899999999999</v>
      </c>
      <c r="D38">
        <v>4.1289999999999996</v>
      </c>
      <c r="E38">
        <v>36.65</v>
      </c>
      <c r="F38">
        <v>36.317</v>
      </c>
      <c r="G38">
        <v>18.975999999999999</v>
      </c>
      <c r="H38">
        <v>46.381999999999998</v>
      </c>
      <c r="I38">
        <v>45.136000000000003</v>
      </c>
      <c r="J38">
        <v>86.712999999999994</v>
      </c>
      <c r="K38">
        <v>0.163632411437379</v>
      </c>
      <c r="L38">
        <v>126.094787117271</v>
      </c>
      <c r="M38" s="3">
        <v>12961630.2094028</v>
      </c>
      <c r="N38">
        <v>1.41807915784561</v>
      </c>
      <c r="O38" s="3">
        <v>180647.02647714701</v>
      </c>
    </row>
    <row r="39" spans="2:15" x14ac:dyDescent="0.25">
      <c r="B39" t="s">
        <v>39</v>
      </c>
      <c r="C39">
        <v>232.22300000000001</v>
      </c>
      <c r="D39">
        <v>26.530999999999999</v>
      </c>
      <c r="E39">
        <v>27.913</v>
      </c>
      <c r="F39">
        <v>35.215000000000003</v>
      </c>
      <c r="G39">
        <v>9.1470000000000002</v>
      </c>
      <c r="H39">
        <v>47.734000000000002</v>
      </c>
      <c r="I39">
        <v>50.158000000000001</v>
      </c>
      <c r="J39">
        <v>13.065</v>
      </c>
      <c r="K39">
        <v>0.16145128224381899</v>
      </c>
      <c r="L39">
        <v>125.020559804542</v>
      </c>
      <c r="M39" s="3">
        <v>15320074.841869401</v>
      </c>
      <c r="N39">
        <v>1.3977200322551999</v>
      </c>
      <c r="O39" s="3">
        <v>178053.507293656</v>
      </c>
    </row>
    <row r="40" spans="2:15" x14ac:dyDescent="0.25">
      <c r="B40" t="s">
        <v>40</v>
      </c>
      <c r="C40">
        <v>246.78</v>
      </c>
      <c r="D40">
        <v>7.726</v>
      </c>
      <c r="E40">
        <v>25.782</v>
      </c>
      <c r="F40">
        <v>28.393000000000001</v>
      </c>
      <c r="G40">
        <v>12.614000000000001</v>
      </c>
      <c r="H40">
        <v>64.622</v>
      </c>
      <c r="I40">
        <v>13.159000000000001</v>
      </c>
      <c r="J40">
        <v>65.239999999999995</v>
      </c>
      <c r="K40">
        <v>0.16158339242786601</v>
      </c>
      <c r="L40">
        <v>124.746114840705</v>
      </c>
      <c r="M40" s="3">
        <v>15991604.3857187</v>
      </c>
      <c r="N40">
        <v>1.4747229140099301</v>
      </c>
      <c r="O40" s="3">
        <v>187862.79159362201</v>
      </c>
    </row>
    <row r="41" spans="2:15" x14ac:dyDescent="0.25">
      <c r="B41" t="s">
        <v>41</v>
      </c>
      <c r="C41">
        <v>184.416</v>
      </c>
      <c r="D41">
        <v>20.49</v>
      </c>
      <c r="E41">
        <v>55.256</v>
      </c>
      <c r="F41">
        <v>26.495000000000001</v>
      </c>
      <c r="G41">
        <v>5.9050000000000002</v>
      </c>
      <c r="H41">
        <v>28.687999999999999</v>
      </c>
      <c r="I41">
        <v>61.72</v>
      </c>
      <c r="J41">
        <v>78.784999999999997</v>
      </c>
      <c r="K41">
        <v>0.164460365875362</v>
      </c>
      <c r="L41">
        <v>127.0833176436</v>
      </c>
      <c r="M41" s="3">
        <v>11125024.3154596</v>
      </c>
      <c r="N41">
        <v>1.32731667853655</v>
      </c>
      <c r="O41" s="3">
        <v>169084.927202108</v>
      </c>
    </row>
    <row r="42" spans="2:15" x14ac:dyDescent="0.25">
      <c r="B42" t="s">
        <v>42</v>
      </c>
      <c r="C42">
        <v>140.946</v>
      </c>
      <c r="D42">
        <v>24.536999999999999</v>
      </c>
      <c r="E42">
        <v>36.061</v>
      </c>
      <c r="F42">
        <v>16.396000000000001</v>
      </c>
      <c r="G42">
        <v>12.346</v>
      </c>
      <c r="H42">
        <v>27.425999999999998</v>
      </c>
      <c r="I42">
        <v>22.303000000000001</v>
      </c>
      <c r="J42">
        <v>57.45</v>
      </c>
      <c r="K42">
        <v>0.161766187986285</v>
      </c>
      <c r="L42">
        <v>124.962961085522</v>
      </c>
      <c r="M42" s="3">
        <v>15458532.265088599</v>
      </c>
      <c r="N42">
        <v>1.4480867873907599</v>
      </c>
      <c r="O42" s="3">
        <v>184469.65444468299</v>
      </c>
    </row>
    <row r="43" spans="2:15" x14ac:dyDescent="0.25">
      <c r="B43" t="s">
        <v>43</v>
      </c>
      <c r="C43">
        <v>179.596</v>
      </c>
      <c r="D43">
        <v>30.946000000000002</v>
      </c>
      <c r="E43">
        <v>41.744999999999997</v>
      </c>
      <c r="F43">
        <v>29.782</v>
      </c>
      <c r="G43">
        <v>24.704000000000001</v>
      </c>
      <c r="H43">
        <v>24.399000000000001</v>
      </c>
      <c r="I43">
        <v>29.791</v>
      </c>
      <c r="J43">
        <v>46.125999999999998</v>
      </c>
      <c r="K43">
        <v>0.16229731435893699</v>
      </c>
      <c r="L43">
        <v>125.703458844285</v>
      </c>
      <c r="M43" s="3">
        <v>13773612.961432699</v>
      </c>
      <c r="N43">
        <v>1.3382540522937501</v>
      </c>
      <c r="O43" s="3">
        <v>170478.22322213301</v>
      </c>
    </row>
    <row r="44" spans="2:15" x14ac:dyDescent="0.25">
      <c r="B44" t="s">
        <v>44</v>
      </c>
      <c r="C44">
        <v>210.98599999999999</v>
      </c>
      <c r="D44">
        <v>10.35</v>
      </c>
      <c r="E44">
        <v>32.212000000000003</v>
      </c>
      <c r="F44">
        <v>40.412999999999997</v>
      </c>
      <c r="G44">
        <v>23.456</v>
      </c>
      <c r="H44">
        <v>61.145000000000003</v>
      </c>
      <c r="I44">
        <v>49.292999999999999</v>
      </c>
      <c r="J44">
        <v>43.877000000000002</v>
      </c>
      <c r="K44">
        <v>0.16206710595767801</v>
      </c>
      <c r="L44">
        <v>125.209867361283</v>
      </c>
      <c r="M44" s="3">
        <v>14874048.2573233</v>
      </c>
      <c r="N44">
        <v>1.42035689176505</v>
      </c>
      <c r="O44" s="3">
        <v>180937.18366433799</v>
      </c>
    </row>
    <row r="45" spans="2:15" x14ac:dyDescent="0.25">
      <c r="B45" t="s">
        <v>45</v>
      </c>
      <c r="C45">
        <v>82.326999999999998</v>
      </c>
      <c r="D45">
        <v>27.91</v>
      </c>
      <c r="E45">
        <v>33.218000000000004</v>
      </c>
      <c r="F45">
        <v>24.302</v>
      </c>
      <c r="G45">
        <v>10.436999999999999</v>
      </c>
      <c r="H45">
        <v>50.985999999999997</v>
      </c>
      <c r="I45">
        <v>27.503</v>
      </c>
      <c r="J45">
        <v>28.74</v>
      </c>
      <c r="K45">
        <v>0.161147373101691</v>
      </c>
      <c r="L45">
        <v>124.55809865642701</v>
      </c>
      <c r="M45" s="3">
        <v>16469312.266383899</v>
      </c>
      <c r="N45">
        <v>1.4724605532339601</v>
      </c>
      <c r="O45" s="3">
        <v>187574.59276865699</v>
      </c>
    </row>
    <row r="46" spans="2:15" x14ac:dyDescent="0.25">
      <c r="B46" t="s">
        <v>46</v>
      </c>
      <c r="C46">
        <v>87.771000000000001</v>
      </c>
      <c r="D46">
        <v>21.841000000000001</v>
      </c>
      <c r="E46">
        <v>51.225999999999999</v>
      </c>
      <c r="F46">
        <v>38.264000000000003</v>
      </c>
      <c r="G46">
        <v>9.359</v>
      </c>
      <c r="H46">
        <v>86.260999999999996</v>
      </c>
      <c r="I46">
        <v>11.377000000000001</v>
      </c>
      <c r="J46">
        <v>97.262</v>
      </c>
      <c r="K46">
        <v>0.162288570006903</v>
      </c>
      <c r="L46">
        <v>125.131279258216</v>
      </c>
      <c r="M46" s="3">
        <v>15057543.0779687</v>
      </c>
      <c r="N46">
        <v>1.44570387864368</v>
      </c>
      <c r="O46" s="3">
        <v>184166.09919027801</v>
      </c>
    </row>
    <row r="47" spans="2:15" x14ac:dyDescent="0.25">
      <c r="B47" t="s">
        <v>47</v>
      </c>
      <c r="C47">
        <v>70.179000000000002</v>
      </c>
      <c r="D47">
        <v>37.417000000000002</v>
      </c>
      <c r="E47">
        <v>53.09</v>
      </c>
      <c r="F47">
        <v>41.002000000000002</v>
      </c>
      <c r="G47">
        <v>9.718</v>
      </c>
      <c r="H47">
        <v>55.353999999999999</v>
      </c>
      <c r="I47">
        <v>53.761000000000003</v>
      </c>
      <c r="J47">
        <v>39.848999999999997</v>
      </c>
      <c r="K47">
        <v>0.162199171413654</v>
      </c>
      <c r="L47">
        <v>125.753953909647</v>
      </c>
      <c r="M47" s="3">
        <v>13665925.4654261</v>
      </c>
      <c r="N47">
        <v>1.4124993526777301</v>
      </c>
      <c r="O47" s="3">
        <v>179936.22327104799</v>
      </c>
    </row>
    <row r="48" spans="2:15" x14ac:dyDescent="0.25">
      <c r="B48" t="s">
        <v>48</v>
      </c>
      <c r="C48">
        <v>148.21600000000001</v>
      </c>
      <c r="D48">
        <v>23.207999999999998</v>
      </c>
      <c r="E48">
        <v>58.305999999999997</v>
      </c>
      <c r="F48">
        <v>35.51</v>
      </c>
      <c r="G48">
        <v>19.809999999999999</v>
      </c>
      <c r="H48">
        <v>25.280999999999999</v>
      </c>
      <c r="I48">
        <v>77.078999999999994</v>
      </c>
      <c r="J48">
        <v>8.09</v>
      </c>
      <c r="K48">
        <v>0.161510439450853</v>
      </c>
      <c r="L48">
        <v>125.08318924783001</v>
      </c>
      <c r="M48" s="3">
        <v>15170990.537307501</v>
      </c>
      <c r="N48">
        <v>1.3782339133450101</v>
      </c>
      <c r="O48" s="3">
        <v>175571.19915223101</v>
      </c>
    </row>
    <row r="49" spans="2:15" x14ac:dyDescent="0.25">
      <c r="B49" t="s">
        <v>49</v>
      </c>
      <c r="C49">
        <v>202.90100000000001</v>
      </c>
      <c r="D49">
        <v>12.266</v>
      </c>
      <c r="E49">
        <v>42.021999999999998</v>
      </c>
      <c r="F49">
        <v>18.039000000000001</v>
      </c>
      <c r="G49">
        <v>23.902000000000001</v>
      </c>
      <c r="H49">
        <v>65.679000000000002</v>
      </c>
      <c r="I49">
        <v>65.632999999999996</v>
      </c>
      <c r="J49">
        <v>66.542000000000002</v>
      </c>
      <c r="K49">
        <v>0.16358733962213101</v>
      </c>
      <c r="L49">
        <v>126.295549568989</v>
      </c>
      <c r="M49" s="3">
        <v>12564580.8547475</v>
      </c>
      <c r="N49">
        <v>1.37911508981021</v>
      </c>
      <c r="O49" s="3">
        <v>175683.45093123699</v>
      </c>
    </row>
    <row r="50" spans="2:15" x14ac:dyDescent="0.25">
      <c r="B50" t="s">
        <v>50</v>
      </c>
      <c r="C50">
        <v>218.03299999999999</v>
      </c>
      <c r="D50">
        <v>20.952999999999999</v>
      </c>
      <c r="E50">
        <v>45.847999999999999</v>
      </c>
      <c r="F50">
        <v>29.57</v>
      </c>
      <c r="G50">
        <v>6.7060000000000004</v>
      </c>
      <c r="H50">
        <v>38.151000000000003</v>
      </c>
      <c r="I50">
        <v>71.183999999999997</v>
      </c>
      <c r="J50">
        <v>70.084999999999994</v>
      </c>
      <c r="K50">
        <v>0.16430167824962399</v>
      </c>
      <c r="L50">
        <v>127.01964345616101</v>
      </c>
      <c r="M50" s="3">
        <v>11234725.0762641</v>
      </c>
      <c r="N50">
        <v>1.34016112651301</v>
      </c>
      <c r="O50" s="3">
        <v>170721.162613122</v>
      </c>
    </row>
    <row r="51" spans="2:15" x14ac:dyDescent="0.25">
      <c r="B51" t="s">
        <v>51</v>
      </c>
      <c r="C51">
        <v>197.733</v>
      </c>
      <c r="D51">
        <v>37.177999999999997</v>
      </c>
      <c r="E51">
        <v>36.966999999999999</v>
      </c>
      <c r="F51">
        <v>17.596</v>
      </c>
      <c r="G51">
        <v>20.724</v>
      </c>
      <c r="H51">
        <v>93.936000000000007</v>
      </c>
      <c r="I51">
        <v>24.170999999999999</v>
      </c>
      <c r="J51">
        <v>18.88</v>
      </c>
      <c r="K51">
        <v>0.16141126288125199</v>
      </c>
      <c r="L51">
        <v>125.06405647101801</v>
      </c>
      <c r="M51" s="3">
        <v>15216373.445061199</v>
      </c>
      <c r="N51">
        <v>1.3551561614482901</v>
      </c>
      <c r="O51" s="3">
        <v>172631.358146279</v>
      </c>
    </row>
    <row r="52" spans="2:15" x14ac:dyDescent="0.25">
      <c r="B52" t="s">
        <v>52</v>
      </c>
      <c r="C52">
        <v>195.43100000000001</v>
      </c>
      <c r="D52">
        <v>14.247999999999999</v>
      </c>
      <c r="E52">
        <v>35.085000000000001</v>
      </c>
      <c r="F52">
        <v>29.388999999999999</v>
      </c>
      <c r="G52">
        <v>11.439</v>
      </c>
      <c r="H52">
        <v>80.513999999999996</v>
      </c>
      <c r="I52">
        <v>39.146000000000001</v>
      </c>
      <c r="J52">
        <v>89.034999999999997</v>
      </c>
      <c r="K52">
        <v>0.16355457826063199</v>
      </c>
      <c r="L52">
        <v>126.109122588104</v>
      </c>
      <c r="M52" s="3">
        <v>12932849.924058801</v>
      </c>
      <c r="N52">
        <v>1.39799536942469</v>
      </c>
      <c r="O52" s="3">
        <v>178088.582092317</v>
      </c>
    </row>
    <row r="53" spans="2:15" x14ac:dyDescent="0.25">
      <c r="B53" t="s">
        <v>53</v>
      </c>
      <c r="C53">
        <v>74.605999999999995</v>
      </c>
      <c r="D53">
        <v>16.105</v>
      </c>
      <c r="E53">
        <v>53.540999999999997</v>
      </c>
      <c r="F53">
        <v>32.177</v>
      </c>
      <c r="G53">
        <v>16.741</v>
      </c>
      <c r="H53">
        <v>11.798</v>
      </c>
      <c r="I53">
        <v>78.917000000000002</v>
      </c>
      <c r="J53">
        <v>18.253</v>
      </c>
      <c r="K53">
        <v>0.161464727744348</v>
      </c>
      <c r="L53">
        <v>124.836274988471</v>
      </c>
      <c r="M53" s="3">
        <v>15767673.5509845</v>
      </c>
      <c r="N53">
        <v>1.46981681663094</v>
      </c>
      <c r="O53" s="3">
        <v>187237.811035789</v>
      </c>
    </row>
    <row r="54" spans="2:15" x14ac:dyDescent="0.25">
      <c r="B54" t="s">
        <v>54</v>
      </c>
      <c r="C54">
        <v>80.45</v>
      </c>
      <c r="D54">
        <v>23.42</v>
      </c>
      <c r="E54">
        <v>56.427999999999997</v>
      </c>
      <c r="F54">
        <v>32.847999999999999</v>
      </c>
      <c r="G54">
        <v>18.314</v>
      </c>
      <c r="H54">
        <v>50.112000000000002</v>
      </c>
      <c r="I54">
        <v>40.679000000000002</v>
      </c>
      <c r="J54">
        <v>82.855999999999995</v>
      </c>
      <c r="K54">
        <v>0.16323215216091699</v>
      </c>
      <c r="L54">
        <v>125.91903595955699</v>
      </c>
      <c r="M54" s="3">
        <v>13319949.263714699</v>
      </c>
      <c r="N54">
        <v>1.40184296020365</v>
      </c>
      <c r="O54" s="3">
        <v>178578.721045051</v>
      </c>
    </row>
    <row r="55" spans="2:15" x14ac:dyDescent="0.25">
      <c r="B55" t="s">
        <v>55</v>
      </c>
      <c r="C55">
        <v>158.898</v>
      </c>
      <c r="D55">
        <v>30.405000000000001</v>
      </c>
      <c r="E55">
        <v>41.667000000000002</v>
      </c>
      <c r="F55">
        <v>28.62</v>
      </c>
      <c r="G55">
        <v>14.029</v>
      </c>
      <c r="H55">
        <v>9.2780000000000005</v>
      </c>
      <c r="I55">
        <v>54.779000000000003</v>
      </c>
      <c r="J55">
        <v>27.582000000000001</v>
      </c>
      <c r="K55">
        <v>0.162241740046733</v>
      </c>
      <c r="L55">
        <v>125.718217522392</v>
      </c>
      <c r="M55" s="3">
        <v>13742046.923092499</v>
      </c>
      <c r="N55">
        <v>1.34860068929448</v>
      </c>
      <c r="O55" s="3">
        <v>171796.266152164</v>
      </c>
    </row>
    <row r="56" spans="2:15" x14ac:dyDescent="0.25">
      <c r="B56" t="s">
        <v>56</v>
      </c>
      <c r="C56">
        <v>108.479</v>
      </c>
      <c r="D56">
        <v>7.3449999999999998</v>
      </c>
      <c r="E56">
        <v>31.413</v>
      </c>
      <c r="F56">
        <v>41.506999999999998</v>
      </c>
      <c r="G56">
        <v>19.5</v>
      </c>
      <c r="H56">
        <v>16.341000000000001</v>
      </c>
      <c r="I56">
        <v>68.876999999999995</v>
      </c>
      <c r="J56">
        <v>71.450999999999993</v>
      </c>
      <c r="K56">
        <v>0.16387021828718601</v>
      </c>
      <c r="L56">
        <v>126.418133883412</v>
      </c>
      <c r="M56" s="3">
        <v>12328397.432618899</v>
      </c>
      <c r="N56">
        <v>1.4152922739132701</v>
      </c>
      <c r="O56" s="3">
        <v>180292.009415704</v>
      </c>
    </row>
    <row r="57" spans="2:15" x14ac:dyDescent="0.25">
      <c r="B57" t="s">
        <v>57</v>
      </c>
      <c r="C57">
        <v>146.55600000000001</v>
      </c>
      <c r="D57">
        <v>17.956</v>
      </c>
      <c r="E57">
        <v>52.78</v>
      </c>
      <c r="F57">
        <v>22.05</v>
      </c>
      <c r="G57">
        <v>18.484999999999999</v>
      </c>
      <c r="H57">
        <v>13.327</v>
      </c>
      <c r="I57">
        <v>42.265999999999998</v>
      </c>
      <c r="J57">
        <v>44.787999999999997</v>
      </c>
      <c r="K57">
        <v>0.16193295120214801</v>
      </c>
      <c r="L57">
        <v>125.15416039605</v>
      </c>
      <c r="M57" s="3">
        <v>15003875.823143199</v>
      </c>
      <c r="N57">
        <v>1.44288299305525</v>
      </c>
      <c r="O57" s="3">
        <v>183806.75070767599</v>
      </c>
    </row>
    <row r="58" spans="2:15" x14ac:dyDescent="0.25">
      <c r="B58" t="s">
        <v>58</v>
      </c>
      <c r="C58">
        <v>126.797</v>
      </c>
      <c r="D58">
        <v>5.6609999999999996</v>
      </c>
      <c r="E58">
        <v>37.939</v>
      </c>
      <c r="F58">
        <v>19.812999999999999</v>
      </c>
      <c r="G58">
        <v>21.556999999999999</v>
      </c>
      <c r="H58">
        <v>20.722999999999999</v>
      </c>
      <c r="I58">
        <v>15.513</v>
      </c>
      <c r="J58">
        <v>30.21</v>
      </c>
      <c r="K58">
        <v>0.16096761396119</v>
      </c>
      <c r="L58">
        <v>124.366937261129</v>
      </c>
      <c r="M58" s="3">
        <v>16970286.195490099</v>
      </c>
      <c r="N58">
        <v>1.5125490603545799</v>
      </c>
      <c r="O58" s="3">
        <v>192681.40896236699</v>
      </c>
    </row>
    <row r="59" spans="2:15" x14ac:dyDescent="0.25">
      <c r="B59" t="s">
        <v>59</v>
      </c>
      <c r="C59">
        <v>137.52799999999999</v>
      </c>
      <c r="D59">
        <v>17.149999999999999</v>
      </c>
      <c r="E59">
        <v>30.260999999999999</v>
      </c>
      <c r="F59">
        <v>18.861000000000001</v>
      </c>
      <c r="G59">
        <v>17.657</v>
      </c>
      <c r="H59">
        <v>87.649000000000001</v>
      </c>
      <c r="I59">
        <v>7.6520000000000001</v>
      </c>
      <c r="J59">
        <v>31.977</v>
      </c>
      <c r="K59">
        <v>0.16090423151028799</v>
      </c>
      <c r="L59">
        <v>124.325494638923</v>
      </c>
      <c r="M59" s="3">
        <v>17080974.6345012</v>
      </c>
      <c r="N59">
        <v>1.4666891870724399</v>
      </c>
      <c r="O59" s="3">
        <v>186839.38688820999</v>
      </c>
    </row>
    <row r="60" spans="2:15" x14ac:dyDescent="0.25">
      <c r="B60" t="s">
        <v>60</v>
      </c>
      <c r="C60">
        <v>222.739</v>
      </c>
      <c r="D60">
        <v>3.6309999999999998</v>
      </c>
      <c r="E60">
        <v>59.652999999999999</v>
      </c>
      <c r="F60">
        <v>33.996000000000002</v>
      </c>
      <c r="G60">
        <v>7.4790000000000001</v>
      </c>
      <c r="H60">
        <v>81.122</v>
      </c>
      <c r="I60">
        <v>12.022</v>
      </c>
      <c r="J60">
        <v>69.287000000000006</v>
      </c>
      <c r="K60">
        <v>0.161575705104085</v>
      </c>
      <c r="L60">
        <v>124.762271401601</v>
      </c>
      <c r="M60" s="3">
        <v>15951233.815543</v>
      </c>
      <c r="N60">
        <v>1.47542708376785</v>
      </c>
      <c r="O60" s="3">
        <v>187952.494747497</v>
      </c>
    </row>
    <row r="61" spans="2:15" x14ac:dyDescent="0.25">
      <c r="B61" t="s">
        <v>61</v>
      </c>
      <c r="C61">
        <v>181.44800000000001</v>
      </c>
      <c r="D61">
        <v>11.587999999999999</v>
      </c>
      <c r="E61">
        <v>34.427999999999997</v>
      </c>
      <c r="F61">
        <v>36.171999999999997</v>
      </c>
      <c r="G61">
        <v>5.2880000000000003</v>
      </c>
      <c r="H61">
        <v>35.968000000000004</v>
      </c>
      <c r="I61">
        <v>45.945</v>
      </c>
      <c r="J61">
        <v>58.451000000000001</v>
      </c>
      <c r="K61">
        <v>0.162606788760183</v>
      </c>
      <c r="L61">
        <v>125.63666191358701</v>
      </c>
      <c r="M61" s="3">
        <v>13917427.0512287</v>
      </c>
      <c r="N61">
        <v>1.4193477424749901</v>
      </c>
      <c r="O61" s="3">
        <v>180808.629614648</v>
      </c>
    </row>
    <row r="62" spans="2:15" x14ac:dyDescent="0.25">
      <c r="B62" t="s">
        <v>62</v>
      </c>
      <c r="C62">
        <v>209.02099999999999</v>
      </c>
      <c r="D62">
        <v>11.167999999999999</v>
      </c>
      <c r="E62">
        <v>22.329000000000001</v>
      </c>
      <c r="F62">
        <v>22.96</v>
      </c>
      <c r="G62">
        <v>22.382000000000001</v>
      </c>
      <c r="H62">
        <v>53.62</v>
      </c>
      <c r="I62">
        <v>9.3780000000000001</v>
      </c>
      <c r="J62">
        <v>68.082999999999998</v>
      </c>
      <c r="K62">
        <v>0.16150565790423899</v>
      </c>
      <c r="L62">
        <v>124.67061737081001</v>
      </c>
      <c r="M62" s="3">
        <v>16181667.4200905</v>
      </c>
      <c r="N62">
        <v>1.46739623986332</v>
      </c>
      <c r="O62" s="3">
        <v>186929.45730742899</v>
      </c>
    </row>
    <row r="63" spans="2:15" x14ac:dyDescent="0.25">
      <c r="B63" t="s">
        <v>63</v>
      </c>
      <c r="C63">
        <v>225.56</v>
      </c>
      <c r="D63">
        <v>4.8899999999999997</v>
      </c>
      <c r="E63">
        <v>54.073</v>
      </c>
      <c r="F63">
        <v>20.603999999999999</v>
      </c>
      <c r="G63">
        <v>9.5709999999999997</v>
      </c>
      <c r="H63">
        <v>71.641000000000005</v>
      </c>
      <c r="I63">
        <v>56.915999999999997</v>
      </c>
      <c r="J63">
        <v>89.691000000000003</v>
      </c>
      <c r="K63">
        <v>0.164411957846373</v>
      </c>
      <c r="L63">
        <v>126.66037451698401</v>
      </c>
      <c r="M63" s="3">
        <v>11875178.076078201</v>
      </c>
      <c r="N63">
        <v>1.40220170547727</v>
      </c>
      <c r="O63" s="3">
        <v>178624.42107990701</v>
      </c>
    </row>
    <row r="64" spans="2:15" x14ac:dyDescent="0.25">
      <c r="B64" t="s">
        <v>64</v>
      </c>
      <c r="C64">
        <v>250.84299999999999</v>
      </c>
      <c r="D64">
        <v>5.97</v>
      </c>
      <c r="E64">
        <v>24.126000000000001</v>
      </c>
      <c r="F64">
        <v>24.637</v>
      </c>
      <c r="G64">
        <v>10.808999999999999</v>
      </c>
      <c r="H64">
        <v>30.119</v>
      </c>
      <c r="I64">
        <v>14.663</v>
      </c>
      <c r="J64">
        <v>20.582999999999998</v>
      </c>
      <c r="K64">
        <v>0.160901744577681</v>
      </c>
      <c r="L64">
        <v>124.383192831847</v>
      </c>
      <c r="M64" s="3">
        <v>16927073.8755951</v>
      </c>
      <c r="N64">
        <v>1.50598544460952</v>
      </c>
      <c r="O64" s="3">
        <v>191845.27956809101</v>
      </c>
    </row>
    <row r="65" spans="2:15" x14ac:dyDescent="0.25">
      <c r="B65" t="s">
        <v>65</v>
      </c>
      <c r="C65">
        <v>238.464</v>
      </c>
      <c r="D65">
        <v>18.779</v>
      </c>
      <c r="E65">
        <v>39.246000000000002</v>
      </c>
      <c r="F65">
        <v>19.718</v>
      </c>
      <c r="G65">
        <v>5.5949999999999998</v>
      </c>
      <c r="H65">
        <v>29.292000000000002</v>
      </c>
      <c r="I65">
        <v>8.4390000000000001</v>
      </c>
      <c r="J65">
        <v>81.081000000000003</v>
      </c>
      <c r="K65">
        <v>0.161920212114391</v>
      </c>
      <c r="L65">
        <v>125.038970778456</v>
      </c>
      <c r="M65" s="3">
        <v>15276091.181236399</v>
      </c>
      <c r="N65">
        <v>1.4396370980628199</v>
      </c>
      <c r="O65" s="3">
        <v>183393.26089972301</v>
      </c>
    </row>
    <row r="66" spans="2:15" x14ac:dyDescent="0.25">
      <c r="B66" t="s">
        <v>66</v>
      </c>
      <c r="C66">
        <v>121.43600000000001</v>
      </c>
      <c r="D66">
        <v>22.779</v>
      </c>
      <c r="E66">
        <v>46.473999999999997</v>
      </c>
      <c r="F66">
        <v>23.338000000000001</v>
      </c>
      <c r="G66">
        <v>21.994</v>
      </c>
      <c r="H66">
        <v>78.936000000000007</v>
      </c>
      <c r="I66">
        <v>30.437000000000001</v>
      </c>
      <c r="J66">
        <v>96.724999999999994</v>
      </c>
      <c r="K66">
        <v>0.16336352722512701</v>
      </c>
      <c r="L66">
        <v>125.79791139405199</v>
      </c>
      <c r="M66" s="3">
        <v>13572894.7948035</v>
      </c>
      <c r="N66">
        <v>1.39193222383194</v>
      </c>
      <c r="O66" s="3">
        <v>177316.20685757199</v>
      </c>
    </row>
    <row r="67" spans="2:15" x14ac:dyDescent="0.25">
      <c r="B67" t="s">
        <v>67</v>
      </c>
      <c r="C67">
        <v>163.84800000000001</v>
      </c>
      <c r="D67">
        <v>34.463000000000001</v>
      </c>
      <c r="E67">
        <v>57.433</v>
      </c>
      <c r="F67">
        <v>20.843</v>
      </c>
      <c r="G67">
        <v>10.891</v>
      </c>
      <c r="H67">
        <v>10.013</v>
      </c>
      <c r="I67">
        <v>33.896000000000001</v>
      </c>
      <c r="J67">
        <v>49.973999999999997</v>
      </c>
      <c r="K67">
        <v>0.16265015354855</v>
      </c>
      <c r="L67">
        <v>126.027791762544</v>
      </c>
      <c r="M67" s="3">
        <v>13097019.630012</v>
      </c>
      <c r="N67">
        <v>1.32462794077129</v>
      </c>
      <c r="O67" s="3">
        <v>168742.412837107</v>
      </c>
    </row>
    <row r="68" spans="2:15" x14ac:dyDescent="0.25">
      <c r="B68" t="s">
        <v>68</v>
      </c>
      <c r="C68">
        <v>65.584999999999994</v>
      </c>
      <c r="D68">
        <v>27.547999999999998</v>
      </c>
      <c r="E68">
        <v>44.216999999999999</v>
      </c>
      <c r="F68">
        <v>34.887</v>
      </c>
      <c r="G68">
        <v>6.2110000000000003</v>
      </c>
      <c r="H68">
        <v>69.584999999999994</v>
      </c>
      <c r="I68">
        <v>74.572999999999993</v>
      </c>
      <c r="J68">
        <v>35.284999999999997</v>
      </c>
      <c r="K68">
        <v>0.16221516397579</v>
      </c>
      <c r="L68">
        <v>125.455080388936</v>
      </c>
      <c r="M68" s="3">
        <v>14316338.807972901</v>
      </c>
      <c r="N68">
        <v>1.4335000952591701</v>
      </c>
      <c r="O68" s="3">
        <v>182611.477103079</v>
      </c>
    </row>
    <row r="69" spans="2:15" x14ac:dyDescent="0.25">
      <c r="B69" t="s">
        <v>69</v>
      </c>
      <c r="C69">
        <v>132.744</v>
      </c>
      <c r="D69">
        <v>4.2169999999999996</v>
      </c>
      <c r="E69">
        <v>51.564</v>
      </c>
      <c r="F69">
        <v>37.223999999999997</v>
      </c>
      <c r="G69">
        <v>17.417999999999999</v>
      </c>
      <c r="H69">
        <v>28.163</v>
      </c>
      <c r="I69">
        <v>11.214</v>
      </c>
      <c r="J69">
        <v>68.346999999999994</v>
      </c>
      <c r="K69">
        <v>0.16150293344053401</v>
      </c>
      <c r="L69">
        <v>124.647226352902</v>
      </c>
      <c r="M69" s="3">
        <v>16241030.4090764</v>
      </c>
      <c r="N69">
        <v>1.48602920609612</v>
      </c>
      <c r="O69" s="3">
        <v>189303.08357912401</v>
      </c>
    </row>
    <row r="70" spans="2:15" x14ac:dyDescent="0.25">
      <c r="B70" t="s">
        <v>70</v>
      </c>
      <c r="C70">
        <v>205.73699999999999</v>
      </c>
      <c r="D70">
        <v>31.384</v>
      </c>
      <c r="E70">
        <v>34.895000000000003</v>
      </c>
      <c r="F70">
        <v>31.829000000000001</v>
      </c>
      <c r="G70">
        <v>17.280999999999999</v>
      </c>
      <c r="H70">
        <v>82.442999999999998</v>
      </c>
      <c r="I70">
        <v>22.199000000000002</v>
      </c>
      <c r="J70">
        <v>40.459000000000003</v>
      </c>
      <c r="K70">
        <v>0.161741463673441</v>
      </c>
      <c r="L70">
        <v>125.244501714667</v>
      </c>
      <c r="M70" s="3">
        <v>14793922.210697601</v>
      </c>
      <c r="N70">
        <v>1.3652531448154801</v>
      </c>
      <c r="O70" s="3">
        <v>173917.59806566601</v>
      </c>
    </row>
    <row r="71" spans="2:15" x14ac:dyDescent="0.25">
      <c r="B71" t="s">
        <v>71</v>
      </c>
      <c r="C71">
        <v>155.17400000000001</v>
      </c>
      <c r="D71">
        <v>6.3520000000000003</v>
      </c>
      <c r="E71">
        <v>54.616999999999997</v>
      </c>
      <c r="F71">
        <v>19.404</v>
      </c>
      <c r="G71">
        <v>15.813000000000001</v>
      </c>
      <c r="H71">
        <v>23.475999999999999</v>
      </c>
      <c r="I71">
        <v>67.858999999999995</v>
      </c>
      <c r="J71">
        <v>79.853999999999999</v>
      </c>
      <c r="K71">
        <v>0.164417175465915</v>
      </c>
      <c r="L71">
        <v>126.80855112477001</v>
      </c>
      <c r="M71" s="3">
        <v>11606538.627150601</v>
      </c>
      <c r="N71">
        <v>1.3925123752525901</v>
      </c>
      <c r="O71" s="3">
        <v>177390.11149714599</v>
      </c>
    </row>
    <row r="72" spans="2:15" x14ac:dyDescent="0.25">
      <c r="B72" t="s">
        <v>72</v>
      </c>
      <c r="C72">
        <v>150.38800000000001</v>
      </c>
      <c r="D72">
        <v>14.705</v>
      </c>
      <c r="E72">
        <v>55.771999999999998</v>
      </c>
      <c r="F72">
        <v>25.66</v>
      </c>
      <c r="G72">
        <v>16.434999999999999</v>
      </c>
      <c r="H72">
        <v>30.768999999999998</v>
      </c>
      <c r="I72">
        <v>27.068000000000001</v>
      </c>
      <c r="J72">
        <v>11.488</v>
      </c>
      <c r="K72">
        <v>0.16104900993999699</v>
      </c>
      <c r="L72">
        <v>124.605326471686</v>
      </c>
      <c r="M72" s="3">
        <v>16347934.4608193</v>
      </c>
      <c r="N72">
        <v>1.440206848354</v>
      </c>
      <c r="O72" s="3">
        <v>183465.84055464901</v>
      </c>
    </row>
    <row r="73" spans="2:15" x14ac:dyDescent="0.25">
      <c r="B73" t="s">
        <v>73</v>
      </c>
      <c r="C73">
        <v>71.998000000000005</v>
      </c>
      <c r="D73">
        <v>12.734999999999999</v>
      </c>
      <c r="E73">
        <v>59.945</v>
      </c>
      <c r="F73">
        <v>26.837</v>
      </c>
      <c r="G73">
        <v>8.8350000000000009</v>
      </c>
      <c r="H73">
        <v>34.582999999999998</v>
      </c>
      <c r="I73">
        <v>9.5310000000000006</v>
      </c>
      <c r="J73">
        <v>91.483000000000004</v>
      </c>
      <c r="K73">
        <v>0.16196006802294499</v>
      </c>
      <c r="L73">
        <v>124.85049561775401</v>
      </c>
      <c r="M73" s="3">
        <v>15732653.3281342</v>
      </c>
      <c r="N73">
        <v>1.4866785597258201</v>
      </c>
      <c r="O73" s="3">
        <v>189385.80378672801</v>
      </c>
    </row>
    <row r="74" spans="2:15" x14ac:dyDescent="0.25">
      <c r="B74" t="s">
        <v>74</v>
      </c>
      <c r="C74">
        <v>144.857</v>
      </c>
      <c r="D74">
        <v>10.641</v>
      </c>
      <c r="E74">
        <v>40.207000000000001</v>
      </c>
      <c r="F74">
        <v>26.295000000000002</v>
      </c>
      <c r="G74">
        <v>18.541</v>
      </c>
      <c r="H74">
        <v>19.675000000000001</v>
      </c>
      <c r="I74">
        <v>45.648000000000003</v>
      </c>
      <c r="J74">
        <v>61.908000000000001</v>
      </c>
      <c r="K74">
        <v>0.16257410100674699</v>
      </c>
      <c r="L74">
        <v>125.52550688738999</v>
      </c>
      <c r="M74" s="3">
        <v>14160224.096390201</v>
      </c>
      <c r="N74">
        <v>1.44573413228986</v>
      </c>
      <c r="O74" s="3">
        <v>184169.95315794501</v>
      </c>
    </row>
    <row r="75" spans="2:15" x14ac:dyDescent="0.25">
      <c r="B75" t="s">
        <v>75</v>
      </c>
      <c r="C75">
        <v>192.398</v>
      </c>
      <c r="D75">
        <v>29.478999999999999</v>
      </c>
      <c r="E75">
        <v>30.992000000000001</v>
      </c>
      <c r="F75">
        <v>33.747</v>
      </c>
      <c r="G75">
        <v>17.117999999999999</v>
      </c>
      <c r="H75">
        <v>18.132000000000001</v>
      </c>
      <c r="I75">
        <v>20.635000000000002</v>
      </c>
      <c r="J75">
        <v>53.118000000000002</v>
      </c>
      <c r="K75">
        <v>0.16188181911155999</v>
      </c>
      <c r="L75">
        <v>125.271829171246</v>
      </c>
      <c r="M75" s="3">
        <v>14731018.192124899</v>
      </c>
      <c r="N75">
        <v>1.39991699009852</v>
      </c>
      <c r="O75" s="3">
        <v>178333.37453484401</v>
      </c>
    </row>
    <row r="76" spans="2:15" x14ac:dyDescent="0.25">
      <c r="B76" t="s">
        <v>76</v>
      </c>
      <c r="C76">
        <v>254.93700000000001</v>
      </c>
      <c r="D76">
        <v>24.209</v>
      </c>
      <c r="E76">
        <v>33.725000000000001</v>
      </c>
      <c r="F76">
        <v>32.683</v>
      </c>
      <c r="G76">
        <v>7.7249999999999996</v>
      </c>
      <c r="H76">
        <v>24.747</v>
      </c>
      <c r="I76">
        <v>19.919</v>
      </c>
      <c r="J76">
        <v>24.004999999999999</v>
      </c>
      <c r="K76">
        <v>0.161414466703832</v>
      </c>
      <c r="L76">
        <v>124.96287680360599</v>
      </c>
      <c r="M76" s="3">
        <v>15458735.817384001</v>
      </c>
      <c r="N76">
        <v>1.4034636373106599</v>
      </c>
      <c r="O76" s="3">
        <v>178785.17672747199</v>
      </c>
    </row>
    <row r="77" spans="2:15" x14ac:dyDescent="0.25">
      <c r="B77" t="s">
        <v>77</v>
      </c>
      <c r="C77">
        <v>160.90299999999999</v>
      </c>
      <c r="D77">
        <v>12.052</v>
      </c>
      <c r="E77">
        <v>56.887999999999998</v>
      </c>
      <c r="F77">
        <v>31.425000000000001</v>
      </c>
      <c r="G77">
        <v>13.42</v>
      </c>
      <c r="H77">
        <v>7.4240000000000004</v>
      </c>
      <c r="I77">
        <v>15.606999999999999</v>
      </c>
      <c r="J77">
        <v>21.334</v>
      </c>
      <c r="K77">
        <v>0.16105218297446799</v>
      </c>
      <c r="L77">
        <v>124.58455253898801</v>
      </c>
      <c r="M77" s="3">
        <v>16401209.1938299</v>
      </c>
      <c r="N77">
        <v>1.4542826833735001</v>
      </c>
      <c r="O77" s="3">
        <v>185258.940557133</v>
      </c>
    </row>
    <row r="78" spans="2:15" x14ac:dyDescent="0.25">
      <c r="B78" t="s">
        <v>78</v>
      </c>
      <c r="C78">
        <v>68.082999999999998</v>
      </c>
      <c r="D78">
        <v>33.020000000000003</v>
      </c>
      <c r="E78">
        <v>22.393000000000001</v>
      </c>
      <c r="F78">
        <v>30.58</v>
      </c>
      <c r="G78">
        <v>8.5839999999999996</v>
      </c>
      <c r="H78">
        <v>87.100999999999999</v>
      </c>
      <c r="I78">
        <v>60.469000000000001</v>
      </c>
      <c r="J78">
        <v>90.391000000000005</v>
      </c>
      <c r="K78">
        <v>0.16461139387645399</v>
      </c>
      <c r="L78">
        <v>126.828358530827</v>
      </c>
      <c r="M78" s="3">
        <v>11571111.3240724</v>
      </c>
      <c r="N78">
        <v>1.3798537390938601</v>
      </c>
      <c r="O78" s="3">
        <v>175777.54638138399</v>
      </c>
    </row>
    <row r="79" spans="2:15" x14ac:dyDescent="0.25">
      <c r="B79" t="s">
        <v>79</v>
      </c>
      <c r="C79">
        <v>171.49</v>
      </c>
      <c r="D79">
        <v>8.0020000000000007</v>
      </c>
      <c r="E79">
        <v>43.945</v>
      </c>
      <c r="F79">
        <v>16.568999999999999</v>
      </c>
      <c r="G79">
        <v>19.468</v>
      </c>
      <c r="H79">
        <v>42.481000000000002</v>
      </c>
      <c r="I79">
        <v>62.402000000000001</v>
      </c>
      <c r="J79">
        <v>60.128</v>
      </c>
      <c r="K79">
        <v>0.16312653195562701</v>
      </c>
      <c r="L79">
        <v>125.967665898875</v>
      </c>
      <c r="M79" s="3">
        <v>13219781.806843299</v>
      </c>
      <c r="N79">
        <v>1.4143662762478799</v>
      </c>
      <c r="O79" s="3">
        <v>180174.04792966601</v>
      </c>
    </row>
    <row r="80" spans="2:15" x14ac:dyDescent="0.25">
      <c r="B80" t="s">
        <v>80</v>
      </c>
      <c r="C80">
        <v>188.90700000000001</v>
      </c>
      <c r="D80">
        <v>32.728999999999999</v>
      </c>
      <c r="E80">
        <v>45.335000000000001</v>
      </c>
      <c r="F80">
        <v>18.757999999999999</v>
      </c>
      <c r="G80">
        <v>11.882999999999999</v>
      </c>
      <c r="H80">
        <v>63.024999999999999</v>
      </c>
      <c r="I80">
        <v>64.802999999999997</v>
      </c>
      <c r="J80">
        <v>85.569000000000003</v>
      </c>
      <c r="K80">
        <v>0.16519787660914001</v>
      </c>
      <c r="L80">
        <v>127.609425102427</v>
      </c>
      <c r="M80" s="3">
        <v>10260247.027002599</v>
      </c>
      <c r="N80">
        <v>1.2978056925291299</v>
      </c>
      <c r="O80" s="3">
        <v>165325.56592727799</v>
      </c>
    </row>
    <row r="81" spans="2:15" x14ac:dyDescent="0.25">
      <c r="B81" t="s">
        <v>81</v>
      </c>
      <c r="C81">
        <v>219.81800000000001</v>
      </c>
      <c r="D81">
        <v>18.312000000000001</v>
      </c>
      <c r="E81">
        <v>26.373999999999999</v>
      </c>
      <c r="F81">
        <v>15.026999999999999</v>
      </c>
      <c r="G81">
        <v>15.339</v>
      </c>
      <c r="H81">
        <v>8.1630000000000003</v>
      </c>
      <c r="I81">
        <v>56.356000000000002</v>
      </c>
      <c r="J81">
        <v>15.436999999999999</v>
      </c>
      <c r="K81">
        <v>0.16134030580255401</v>
      </c>
      <c r="L81">
        <v>124.83150085045</v>
      </c>
      <c r="M81" s="3">
        <v>15779448.7244658</v>
      </c>
      <c r="N81">
        <v>1.4530467293414799</v>
      </c>
      <c r="O81" s="3">
        <v>185101.494183628</v>
      </c>
    </row>
    <row r="82" spans="2:15" x14ac:dyDescent="0.25">
      <c r="B82" t="s">
        <v>82</v>
      </c>
      <c r="C82">
        <v>112.697</v>
      </c>
      <c r="D82">
        <v>27.314</v>
      </c>
      <c r="E82">
        <v>46.819000000000003</v>
      </c>
      <c r="F82">
        <v>30.021000000000001</v>
      </c>
      <c r="G82">
        <v>24.004999999999999</v>
      </c>
      <c r="H82">
        <v>73.262</v>
      </c>
      <c r="I82">
        <v>69.483000000000004</v>
      </c>
      <c r="J82">
        <v>17.280999999999999</v>
      </c>
      <c r="K82">
        <v>0.16139910496012</v>
      </c>
      <c r="L82">
        <v>124.757467379703</v>
      </c>
      <c r="M82" s="3">
        <v>15963226.564998399</v>
      </c>
      <c r="N82">
        <v>1.4132800873854701</v>
      </c>
      <c r="O82" s="3">
        <v>180035.67992171599</v>
      </c>
    </row>
    <row r="83" spans="2:15" x14ac:dyDescent="0.25">
      <c r="B83" t="s">
        <v>83</v>
      </c>
      <c r="C83">
        <v>239.07</v>
      </c>
      <c r="D83">
        <v>35.963000000000001</v>
      </c>
      <c r="E83">
        <v>31.298999999999999</v>
      </c>
      <c r="F83">
        <v>16.158000000000001</v>
      </c>
      <c r="G83">
        <v>7.2039999999999997</v>
      </c>
      <c r="H83">
        <v>66.132999999999996</v>
      </c>
      <c r="I83">
        <v>72.099999999999994</v>
      </c>
      <c r="J83">
        <v>72.515000000000001</v>
      </c>
      <c r="K83">
        <v>0.165142566377464</v>
      </c>
      <c r="L83">
        <v>127.897422272322</v>
      </c>
      <c r="M83" s="3">
        <v>9816816.3612440992</v>
      </c>
      <c r="N83">
        <v>1.2687414597365101</v>
      </c>
      <c r="O83" s="3">
        <v>161623.11589000199</v>
      </c>
    </row>
    <row r="84" spans="2:15" x14ac:dyDescent="0.25">
      <c r="B84" t="s">
        <v>84</v>
      </c>
      <c r="C84">
        <v>251.828</v>
      </c>
      <c r="D84">
        <v>6.6280000000000001</v>
      </c>
      <c r="E84">
        <v>48.405000000000001</v>
      </c>
      <c r="F84">
        <v>28.225999999999999</v>
      </c>
      <c r="G84">
        <v>10.574</v>
      </c>
      <c r="H84">
        <v>20.898</v>
      </c>
      <c r="I84">
        <v>51.454000000000001</v>
      </c>
      <c r="J84">
        <v>16.437000000000001</v>
      </c>
      <c r="K84">
        <v>0.161188381529002</v>
      </c>
      <c r="L84">
        <v>124.631137239382</v>
      </c>
      <c r="M84" s="3">
        <v>16281993.984541399</v>
      </c>
      <c r="N84">
        <v>1.47884739081163</v>
      </c>
      <c r="O84" s="3">
        <v>188388.202651164</v>
      </c>
    </row>
    <row r="85" spans="2:15" x14ac:dyDescent="0.25">
      <c r="B85" t="s">
        <v>85</v>
      </c>
      <c r="C85">
        <v>171.29400000000001</v>
      </c>
      <c r="D85">
        <v>24.747</v>
      </c>
      <c r="E85">
        <v>20.327000000000002</v>
      </c>
      <c r="F85">
        <v>28.945</v>
      </c>
      <c r="G85">
        <v>6.0540000000000003</v>
      </c>
      <c r="H85">
        <v>18.715</v>
      </c>
      <c r="I85">
        <v>30.863</v>
      </c>
      <c r="J85">
        <v>45.079000000000001</v>
      </c>
      <c r="K85">
        <v>0.162054525792346</v>
      </c>
      <c r="L85">
        <v>125.400307635454</v>
      </c>
      <c r="M85" s="3">
        <v>14438993.5599549</v>
      </c>
      <c r="N85">
        <v>1.3920058155374699</v>
      </c>
      <c r="O85" s="3">
        <v>177325.58159712999</v>
      </c>
    </row>
    <row r="86" spans="2:15" x14ac:dyDescent="0.25">
      <c r="B86" t="s">
        <v>86</v>
      </c>
      <c r="C86">
        <v>119.252</v>
      </c>
      <c r="D86">
        <v>15.138999999999999</v>
      </c>
      <c r="E86">
        <v>44.987000000000002</v>
      </c>
      <c r="F86">
        <v>33.262999999999998</v>
      </c>
      <c r="G86">
        <v>21.396000000000001</v>
      </c>
      <c r="H86">
        <v>11.106</v>
      </c>
      <c r="I86">
        <v>54.447000000000003</v>
      </c>
      <c r="J86">
        <v>50.776000000000003</v>
      </c>
      <c r="K86">
        <v>0.162411877918438</v>
      </c>
      <c r="L86">
        <v>125.468734873431</v>
      </c>
      <c r="M86" s="3">
        <v>14285931.2494248</v>
      </c>
      <c r="N86">
        <v>1.43563621236439</v>
      </c>
      <c r="O86" s="3">
        <v>182883.59393176899</v>
      </c>
    </row>
    <row r="87" spans="2:15" x14ac:dyDescent="0.25">
      <c r="B87" t="s">
        <v>87</v>
      </c>
      <c r="C87">
        <v>91.447000000000003</v>
      </c>
      <c r="D87">
        <v>19.384</v>
      </c>
      <c r="E87">
        <v>51.868000000000002</v>
      </c>
      <c r="F87">
        <v>30.928999999999998</v>
      </c>
      <c r="G87">
        <v>14.221</v>
      </c>
      <c r="H87">
        <v>59.572000000000003</v>
      </c>
      <c r="I87">
        <v>18.648</v>
      </c>
      <c r="J87">
        <v>83.454999999999998</v>
      </c>
      <c r="K87">
        <v>0.16220997445826499</v>
      </c>
      <c r="L87">
        <v>125.117336988969</v>
      </c>
      <c r="M87" s="3">
        <v>15090342.4762027</v>
      </c>
      <c r="N87">
        <v>1.44591402321259</v>
      </c>
      <c r="O87" s="3">
        <v>184192.869199056</v>
      </c>
    </row>
    <row r="88" spans="2:15" x14ac:dyDescent="0.25">
      <c r="B88" t="s">
        <v>88</v>
      </c>
      <c r="C88">
        <v>255.316</v>
      </c>
      <c r="D88">
        <v>19.018999999999998</v>
      </c>
      <c r="E88">
        <v>42.808</v>
      </c>
      <c r="F88">
        <v>17.038</v>
      </c>
      <c r="G88">
        <v>9.2880000000000003</v>
      </c>
      <c r="H88">
        <v>56.835000000000001</v>
      </c>
      <c r="I88">
        <v>36.694000000000003</v>
      </c>
      <c r="J88">
        <v>10.808999999999999</v>
      </c>
      <c r="K88">
        <v>0.16116701975957101</v>
      </c>
      <c r="L88">
        <v>124.72782005817</v>
      </c>
      <c r="M88" s="3">
        <v>16037446.3762979</v>
      </c>
      <c r="N88">
        <v>1.4315981055254601</v>
      </c>
      <c r="O88" s="3">
        <v>182369.185417256</v>
      </c>
    </row>
    <row r="89" spans="2:15" x14ac:dyDescent="0.25">
      <c r="B89" t="s">
        <v>89</v>
      </c>
      <c r="C89">
        <v>169.15199999999999</v>
      </c>
      <c r="D89">
        <v>15.737</v>
      </c>
      <c r="E89">
        <v>59.064</v>
      </c>
      <c r="F89">
        <v>27.763999999999999</v>
      </c>
      <c r="G89">
        <v>22.951000000000001</v>
      </c>
      <c r="H89">
        <v>91.694000000000003</v>
      </c>
      <c r="I89">
        <v>67.75</v>
      </c>
      <c r="J89">
        <v>63.904000000000003</v>
      </c>
      <c r="K89">
        <v>0.16370087336421901</v>
      </c>
      <c r="L89">
        <v>126.51431861287</v>
      </c>
      <c r="M89" s="3">
        <v>12146320.176353101</v>
      </c>
      <c r="N89">
        <v>1.32060458843544</v>
      </c>
      <c r="O89" s="3">
        <v>168229.88387712601</v>
      </c>
    </row>
    <row r="90" spans="2:15" x14ac:dyDescent="0.25">
      <c r="B90" t="s">
        <v>90</v>
      </c>
      <c r="C90">
        <v>227.172</v>
      </c>
      <c r="D90">
        <v>31.55</v>
      </c>
      <c r="E90">
        <v>58.802</v>
      </c>
      <c r="F90">
        <v>39.506</v>
      </c>
      <c r="G90">
        <v>7.8470000000000004</v>
      </c>
      <c r="H90">
        <v>45.127000000000002</v>
      </c>
      <c r="I90">
        <v>33.685000000000002</v>
      </c>
      <c r="J90">
        <v>54.767000000000003</v>
      </c>
      <c r="K90">
        <v>0.162710710578856</v>
      </c>
      <c r="L90">
        <v>126.18463490452</v>
      </c>
      <c r="M90" s="3">
        <v>12782344.973478399</v>
      </c>
      <c r="N90">
        <v>1.32995012531565</v>
      </c>
      <c r="O90" s="3">
        <v>169420.39812938299</v>
      </c>
    </row>
    <row r="91" spans="2:15" x14ac:dyDescent="0.25">
      <c r="B91" t="s">
        <v>91</v>
      </c>
      <c r="C91">
        <v>99.015000000000001</v>
      </c>
      <c r="D91">
        <v>26.233000000000001</v>
      </c>
      <c r="E91">
        <v>26.335999999999999</v>
      </c>
      <c r="F91">
        <v>20.405999999999999</v>
      </c>
      <c r="G91">
        <v>20.228000000000002</v>
      </c>
      <c r="H91">
        <v>51.993000000000002</v>
      </c>
      <c r="I91">
        <v>63.927999999999997</v>
      </c>
      <c r="J91">
        <v>98.481999999999999</v>
      </c>
      <c r="K91">
        <v>0.16541341013566899</v>
      </c>
      <c r="L91">
        <v>127.320376353098</v>
      </c>
      <c r="M91" s="3">
        <v>10726325.7662802</v>
      </c>
      <c r="N91">
        <v>1.35363592042683</v>
      </c>
      <c r="O91" s="3">
        <v>172437.696869659</v>
      </c>
    </row>
    <row r="92" spans="2:15" x14ac:dyDescent="0.25">
      <c r="B92" t="s">
        <v>92</v>
      </c>
      <c r="C92">
        <v>216.084</v>
      </c>
      <c r="D92">
        <v>28.434999999999999</v>
      </c>
      <c r="E92">
        <v>42.576000000000001</v>
      </c>
      <c r="F92">
        <v>28.995999999999999</v>
      </c>
      <c r="G92">
        <v>12.794</v>
      </c>
      <c r="H92">
        <v>52.756</v>
      </c>
      <c r="I92">
        <v>13.747</v>
      </c>
      <c r="J92">
        <v>25.19</v>
      </c>
      <c r="K92">
        <v>0.161324803250077</v>
      </c>
      <c r="L92">
        <v>124.919344665183</v>
      </c>
      <c r="M92" s="3">
        <v>15564246.2068945</v>
      </c>
      <c r="N92">
        <v>1.39449908031907</v>
      </c>
      <c r="O92" s="3">
        <v>177643.194945105</v>
      </c>
    </row>
    <row r="93" spans="2:15" x14ac:dyDescent="0.25">
      <c r="B93" t="s">
        <v>93</v>
      </c>
      <c r="C93">
        <v>153.72</v>
      </c>
      <c r="D93">
        <v>14.048999999999999</v>
      </c>
      <c r="E93">
        <v>38.786999999999999</v>
      </c>
      <c r="F93">
        <v>27.690999999999999</v>
      </c>
      <c r="G93">
        <v>21.126000000000001</v>
      </c>
      <c r="H93">
        <v>58.758000000000003</v>
      </c>
      <c r="I93">
        <v>52.53</v>
      </c>
      <c r="J93">
        <v>90.796999999999997</v>
      </c>
      <c r="K93">
        <v>0.164444637174568</v>
      </c>
      <c r="L93">
        <v>126.78787632437999</v>
      </c>
      <c r="M93" s="3">
        <v>11643637.9448022</v>
      </c>
      <c r="N93">
        <v>1.34862436185226</v>
      </c>
      <c r="O93" s="3">
        <v>171799.28176461899</v>
      </c>
    </row>
    <row r="94" spans="2:15" x14ac:dyDescent="0.25">
      <c r="B94" t="s">
        <v>94</v>
      </c>
      <c r="C94">
        <v>215.21199999999999</v>
      </c>
      <c r="D94">
        <v>9.1720000000000006</v>
      </c>
      <c r="E94">
        <v>20.413</v>
      </c>
      <c r="F94">
        <v>39.652999999999999</v>
      </c>
      <c r="G94">
        <v>8.0939999999999994</v>
      </c>
      <c r="H94">
        <v>94.643000000000001</v>
      </c>
      <c r="I94">
        <v>66.62</v>
      </c>
      <c r="J94">
        <v>7.2519999999999998</v>
      </c>
      <c r="K94">
        <v>0.160998621158677</v>
      </c>
      <c r="L94">
        <v>124.476622646698</v>
      </c>
      <c r="M94" s="3">
        <v>16680923.137763301</v>
      </c>
      <c r="N94">
        <v>1.48021322506047</v>
      </c>
      <c r="O94" s="3">
        <v>188562.19427522001</v>
      </c>
    </row>
    <row r="95" spans="2:15" x14ac:dyDescent="0.25">
      <c r="B95" t="s">
        <v>95</v>
      </c>
      <c r="C95">
        <v>206.13200000000001</v>
      </c>
      <c r="D95">
        <v>6.774</v>
      </c>
      <c r="E95">
        <v>28.411999999999999</v>
      </c>
      <c r="F95">
        <v>34.241</v>
      </c>
      <c r="G95">
        <v>11.073</v>
      </c>
      <c r="H95">
        <v>37.173999999999999</v>
      </c>
      <c r="I95">
        <v>32.152999999999999</v>
      </c>
      <c r="J95">
        <v>77.56</v>
      </c>
      <c r="K95">
        <v>0.16265098712562401</v>
      </c>
      <c r="L95">
        <v>125.480456162811</v>
      </c>
      <c r="M95" s="3">
        <v>14259882.479877099</v>
      </c>
      <c r="N95">
        <v>1.4558374718110401</v>
      </c>
      <c r="O95" s="3">
        <v>185457.00277847701</v>
      </c>
    </row>
    <row r="96" spans="2:15" x14ac:dyDescent="0.25">
      <c r="B96" t="s">
        <v>96</v>
      </c>
      <c r="C96">
        <v>213.19399999999999</v>
      </c>
      <c r="D96">
        <v>3.46</v>
      </c>
      <c r="E96">
        <v>25.33</v>
      </c>
      <c r="F96">
        <v>25.356999999999999</v>
      </c>
      <c r="G96">
        <v>23.315999999999999</v>
      </c>
      <c r="H96">
        <v>40.219000000000001</v>
      </c>
      <c r="I96">
        <v>47.609000000000002</v>
      </c>
      <c r="J96">
        <v>96.073999999999998</v>
      </c>
      <c r="K96">
        <v>0.164228384670525</v>
      </c>
      <c r="L96">
        <v>126.408909972516</v>
      </c>
      <c r="M96" s="3">
        <v>12346007.1051798</v>
      </c>
      <c r="N96">
        <v>1.42410246185531</v>
      </c>
      <c r="O96" s="3">
        <v>181414.326350994</v>
      </c>
    </row>
    <row r="97" spans="2:15" x14ac:dyDescent="0.25">
      <c r="B97" t="s">
        <v>97</v>
      </c>
      <c r="C97">
        <v>78.679000000000002</v>
      </c>
      <c r="D97">
        <v>7.173</v>
      </c>
      <c r="E97">
        <v>25.571000000000002</v>
      </c>
      <c r="F97">
        <v>32.582999999999998</v>
      </c>
      <c r="G97">
        <v>11.648</v>
      </c>
      <c r="H97">
        <v>37.712000000000003</v>
      </c>
      <c r="I97">
        <v>35.555</v>
      </c>
      <c r="J97">
        <v>74.659000000000006</v>
      </c>
      <c r="K97">
        <v>0.16261281551775</v>
      </c>
      <c r="L97">
        <v>125.416569066671</v>
      </c>
      <c r="M97" s="3">
        <v>14402464.790757</v>
      </c>
      <c r="N97">
        <v>1.47120991603844</v>
      </c>
      <c r="O97" s="3">
        <v>187415.275928463</v>
      </c>
    </row>
    <row r="98" spans="2:15" x14ac:dyDescent="0.25">
      <c r="B98" t="s">
        <v>98</v>
      </c>
      <c r="C98">
        <v>95.501999999999995</v>
      </c>
      <c r="D98">
        <v>14.994999999999999</v>
      </c>
      <c r="E98">
        <v>49.204999999999998</v>
      </c>
      <c r="F98">
        <v>24.521999999999998</v>
      </c>
      <c r="G98">
        <v>19.332999999999998</v>
      </c>
      <c r="H98">
        <v>76.165999999999997</v>
      </c>
      <c r="I98">
        <v>23.507999999999999</v>
      </c>
      <c r="J98">
        <v>88.373999999999995</v>
      </c>
      <c r="K98">
        <v>0.16257059973739801</v>
      </c>
      <c r="L98">
        <v>125.27939478763599</v>
      </c>
      <c r="M98" s="3">
        <v>14713652.5182459</v>
      </c>
      <c r="N98">
        <v>1.4378992751297199</v>
      </c>
      <c r="O98" s="3">
        <v>183171.88218213001</v>
      </c>
    </row>
    <row r="99" spans="2:15" x14ac:dyDescent="0.25">
      <c r="B99" t="s">
        <v>99</v>
      </c>
      <c r="C99">
        <v>122.914</v>
      </c>
      <c r="D99">
        <v>33.909999999999997</v>
      </c>
      <c r="E99">
        <v>37.228000000000002</v>
      </c>
      <c r="F99">
        <v>40.704999999999998</v>
      </c>
      <c r="G99">
        <v>19.87</v>
      </c>
      <c r="H99">
        <v>89.119</v>
      </c>
      <c r="I99">
        <v>44.558</v>
      </c>
      <c r="J99">
        <v>26.125</v>
      </c>
      <c r="K99">
        <v>0.161546536797014</v>
      </c>
      <c r="L99">
        <v>124.997299590499</v>
      </c>
      <c r="M99" s="3">
        <v>15375832.126534</v>
      </c>
      <c r="N99">
        <v>1.3902186895874999</v>
      </c>
      <c r="O99" s="3">
        <v>177097.922240446</v>
      </c>
    </row>
    <row r="100" spans="2:15" x14ac:dyDescent="0.25">
      <c r="B100" t="s">
        <v>100</v>
      </c>
      <c r="C100">
        <v>83.953000000000003</v>
      </c>
      <c r="D100">
        <v>8.3330000000000002</v>
      </c>
      <c r="E100">
        <v>46.109000000000002</v>
      </c>
      <c r="F100">
        <v>18.286999999999999</v>
      </c>
      <c r="G100">
        <v>13.945</v>
      </c>
      <c r="H100">
        <v>83.802000000000007</v>
      </c>
      <c r="I100">
        <v>61.112000000000002</v>
      </c>
      <c r="J100">
        <v>94.992999999999995</v>
      </c>
      <c r="K100">
        <v>0.16491287537381899</v>
      </c>
      <c r="L100">
        <v>126.922461451955</v>
      </c>
      <c r="M100" s="3">
        <v>11404332.958510401</v>
      </c>
      <c r="N100">
        <v>1.39221354812996</v>
      </c>
      <c r="O100" s="3">
        <v>177352.04434776501</v>
      </c>
    </row>
    <row r="101" spans="2:15" x14ac:dyDescent="0.25">
      <c r="B101" t="s">
        <v>101</v>
      </c>
      <c r="C101">
        <v>66.766999999999996</v>
      </c>
      <c r="D101">
        <v>17.911999999999999</v>
      </c>
      <c r="E101">
        <v>40.655999999999999</v>
      </c>
      <c r="F101">
        <v>34.494</v>
      </c>
      <c r="G101">
        <v>23.013999999999999</v>
      </c>
      <c r="H101">
        <v>14.743</v>
      </c>
      <c r="I101">
        <v>75.626999999999995</v>
      </c>
      <c r="J101">
        <v>27.126000000000001</v>
      </c>
      <c r="K101">
        <v>0.16181405871690299</v>
      </c>
      <c r="L101">
        <v>125.075327548232</v>
      </c>
      <c r="M101" s="3">
        <v>15189621.3712207</v>
      </c>
      <c r="N101">
        <v>1.46144143972517</v>
      </c>
      <c r="O101" s="3">
        <v>186170.884041424</v>
      </c>
    </row>
    <row r="102" spans="2:15" x14ac:dyDescent="0.25">
      <c r="B102" t="s">
        <v>102</v>
      </c>
      <c r="C102">
        <v>179.381</v>
      </c>
      <c r="D102">
        <v>22.376000000000001</v>
      </c>
      <c r="E102">
        <v>24.928000000000001</v>
      </c>
      <c r="F102">
        <v>36.564</v>
      </c>
      <c r="G102">
        <v>16.068000000000001</v>
      </c>
      <c r="H102">
        <v>74.113</v>
      </c>
      <c r="I102">
        <v>21.597000000000001</v>
      </c>
      <c r="J102">
        <v>30.364000000000001</v>
      </c>
      <c r="K102">
        <v>0.161477966972225</v>
      </c>
      <c r="L102">
        <v>124.96074757276</v>
      </c>
      <c r="M102" s="3">
        <v>15463879.1266736</v>
      </c>
      <c r="N102">
        <v>1.39105032174071</v>
      </c>
      <c r="O102" s="3">
        <v>177203.86264212901</v>
      </c>
    </row>
    <row r="103" spans="2:15" x14ac:dyDescent="0.25">
      <c r="B103" t="s">
        <v>103</v>
      </c>
      <c r="C103">
        <v>89.900999999999996</v>
      </c>
      <c r="D103">
        <v>25.094000000000001</v>
      </c>
      <c r="E103">
        <v>32.415999999999997</v>
      </c>
      <c r="F103">
        <v>15.718999999999999</v>
      </c>
      <c r="G103">
        <v>12.124000000000001</v>
      </c>
      <c r="H103">
        <v>54.561</v>
      </c>
      <c r="I103">
        <v>42.615000000000002</v>
      </c>
      <c r="J103">
        <v>51.481999999999999</v>
      </c>
      <c r="K103">
        <v>0.162060731340745</v>
      </c>
      <c r="L103">
        <v>125.171681110501</v>
      </c>
      <c r="M103" s="3">
        <v>14962916.154786799</v>
      </c>
      <c r="N103">
        <v>1.44904127883614</v>
      </c>
      <c r="O103" s="3">
        <v>184591.245711611</v>
      </c>
    </row>
    <row r="104" spans="2:15" x14ac:dyDescent="0.25">
      <c r="B104" t="s">
        <v>104</v>
      </c>
      <c r="C104">
        <v>130.34</v>
      </c>
      <c r="D104">
        <v>33.659999999999997</v>
      </c>
      <c r="E104">
        <v>43.067</v>
      </c>
      <c r="F104">
        <v>33.484000000000002</v>
      </c>
      <c r="G104">
        <v>8.1999999999999993</v>
      </c>
      <c r="H104">
        <v>33.048999999999999</v>
      </c>
      <c r="I104">
        <v>28.16</v>
      </c>
      <c r="J104">
        <v>62.478999999999999</v>
      </c>
      <c r="K104">
        <v>0.162247250536636</v>
      </c>
      <c r="L104">
        <v>125.412379931096</v>
      </c>
      <c r="M104" s="3">
        <v>14411865.8091782</v>
      </c>
      <c r="N104">
        <v>1.4051050509440299</v>
      </c>
      <c r="O104" s="3">
        <v>178994.27400560901</v>
      </c>
    </row>
    <row r="105" spans="2:15" x14ac:dyDescent="0.25">
      <c r="B105" t="s">
        <v>105</v>
      </c>
      <c r="C105">
        <v>129.79300000000001</v>
      </c>
      <c r="D105">
        <v>13.622</v>
      </c>
      <c r="E105">
        <v>23.332999999999998</v>
      </c>
      <c r="F105">
        <v>14.875999999999999</v>
      </c>
      <c r="G105">
        <v>15.663</v>
      </c>
      <c r="H105">
        <v>72.376000000000005</v>
      </c>
      <c r="I105">
        <v>39.408999999999999</v>
      </c>
      <c r="J105">
        <v>21.951000000000001</v>
      </c>
      <c r="K105">
        <v>0.16114910281769601</v>
      </c>
      <c r="L105">
        <v>124.534951476532</v>
      </c>
      <c r="M105" s="3">
        <v>16529144.376158301</v>
      </c>
      <c r="N105">
        <v>1.47861786992041</v>
      </c>
      <c r="O105" s="3">
        <v>188358.96432107201</v>
      </c>
    </row>
    <row r="106" spans="2:15" x14ac:dyDescent="0.25">
      <c r="B106" t="s">
        <v>106</v>
      </c>
      <c r="C106">
        <v>63.439</v>
      </c>
      <c r="D106">
        <v>34.822000000000003</v>
      </c>
      <c r="E106">
        <v>41.040999999999997</v>
      </c>
      <c r="F106">
        <v>22.305</v>
      </c>
      <c r="G106">
        <v>23.812000000000001</v>
      </c>
      <c r="H106">
        <v>56.642000000000003</v>
      </c>
      <c r="I106">
        <v>17.527999999999999</v>
      </c>
      <c r="J106">
        <v>47.941000000000003</v>
      </c>
      <c r="K106">
        <v>0.161312912164709</v>
      </c>
      <c r="L106">
        <v>124.63540194531799</v>
      </c>
      <c r="M106" s="3">
        <v>16271125.379046399</v>
      </c>
      <c r="N106">
        <v>1.4550733355407</v>
      </c>
      <c r="O106" s="3">
        <v>185359.66057843299</v>
      </c>
    </row>
    <row r="107" spans="2:15" x14ac:dyDescent="0.25">
      <c r="B107" t="s">
        <v>107</v>
      </c>
      <c r="C107">
        <v>200.07</v>
      </c>
      <c r="D107">
        <v>28.88</v>
      </c>
      <c r="E107">
        <v>48.002000000000002</v>
      </c>
      <c r="F107">
        <v>21.960999999999999</v>
      </c>
      <c r="G107">
        <v>24.501000000000001</v>
      </c>
      <c r="H107">
        <v>69.061999999999998</v>
      </c>
      <c r="I107">
        <v>37.338999999999999</v>
      </c>
      <c r="J107">
        <v>55.905000000000001</v>
      </c>
      <c r="K107">
        <v>0.16247047194986899</v>
      </c>
      <c r="L107">
        <v>125.706294719318</v>
      </c>
      <c r="M107" s="3">
        <v>13767541.696876399</v>
      </c>
      <c r="N107">
        <v>1.35109669537094</v>
      </c>
      <c r="O107" s="3">
        <v>172114.22870967301</v>
      </c>
    </row>
    <row r="108" spans="2:15" x14ac:dyDescent="0.25">
      <c r="B108" t="s">
        <v>108</v>
      </c>
      <c r="C108">
        <v>156.77699999999999</v>
      </c>
      <c r="D108">
        <v>36.195999999999998</v>
      </c>
      <c r="E108">
        <v>20.803000000000001</v>
      </c>
      <c r="F108">
        <v>14.41</v>
      </c>
      <c r="G108">
        <v>16.992000000000001</v>
      </c>
      <c r="H108">
        <v>60.054000000000002</v>
      </c>
      <c r="I108">
        <v>78.603999999999999</v>
      </c>
      <c r="J108">
        <v>84.760999999999996</v>
      </c>
      <c r="K108">
        <v>0.16649023343203401</v>
      </c>
      <c r="L108">
        <v>128.877290763546</v>
      </c>
      <c r="M108" s="3">
        <v>8451907.8273723405</v>
      </c>
      <c r="N108">
        <v>1.2179995041020999</v>
      </c>
      <c r="O108" s="3">
        <v>155159.172497083</v>
      </c>
    </row>
    <row r="109" spans="2:15" x14ac:dyDescent="0.25">
      <c r="B109" t="s">
        <v>109</v>
      </c>
      <c r="C109">
        <v>110.88500000000001</v>
      </c>
      <c r="D109">
        <v>17.663</v>
      </c>
      <c r="E109">
        <v>27.143000000000001</v>
      </c>
      <c r="F109">
        <v>41.235999999999997</v>
      </c>
      <c r="G109">
        <v>15.853999999999999</v>
      </c>
      <c r="H109">
        <v>43.81</v>
      </c>
      <c r="I109">
        <v>71.72</v>
      </c>
      <c r="J109">
        <v>64.695999999999998</v>
      </c>
      <c r="K109">
        <v>0.163642784452245</v>
      </c>
      <c r="L109">
        <v>126.32138421141001</v>
      </c>
      <c r="M109" s="3">
        <v>12514415.9221274</v>
      </c>
      <c r="N109">
        <v>1.3942587110170701</v>
      </c>
      <c r="O109" s="3">
        <v>177612.574651856</v>
      </c>
    </row>
    <row r="110" spans="2:15" x14ac:dyDescent="0.25">
      <c r="B110" t="s">
        <v>110</v>
      </c>
      <c r="C110">
        <v>167.42099999999999</v>
      </c>
      <c r="D110">
        <v>9.7129999999999992</v>
      </c>
      <c r="E110">
        <v>48.094000000000001</v>
      </c>
      <c r="F110">
        <v>37.530999999999999</v>
      </c>
      <c r="G110">
        <v>7.54</v>
      </c>
      <c r="H110">
        <v>81.512</v>
      </c>
      <c r="I110">
        <v>73.052999999999997</v>
      </c>
      <c r="J110">
        <v>99.600999999999999</v>
      </c>
      <c r="K110">
        <v>0.16622394203489299</v>
      </c>
      <c r="L110">
        <v>128.04631457881999</v>
      </c>
      <c r="M110" s="3">
        <v>9595442.9315688591</v>
      </c>
      <c r="N110">
        <v>1.3195112726790801</v>
      </c>
      <c r="O110" s="3">
        <v>168090.60798459599</v>
      </c>
    </row>
    <row r="111" spans="2:15" x14ac:dyDescent="0.25">
      <c r="B111" t="s">
        <v>111</v>
      </c>
      <c r="C111">
        <v>230.43100000000001</v>
      </c>
      <c r="D111">
        <v>20.600999999999999</v>
      </c>
      <c r="E111">
        <v>30.501000000000001</v>
      </c>
      <c r="F111">
        <v>42.401000000000003</v>
      </c>
      <c r="G111">
        <v>24.484000000000002</v>
      </c>
      <c r="H111">
        <v>22.332999999999998</v>
      </c>
      <c r="I111">
        <v>32.917999999999999</v>
      </c>
      <c r="J111">
        <v>92.495999999999995</v>
      </c>
      <c r="K111">
        <v>0.16358182281682099</v>
      </c>
      <c r="L111">
        <v>126.20029552326901</v>
      </c>
      <c r="M111" s="3">
        <v>12751360.7335194</v>
      </c>
      <c r="N111">
        <v>1.3703242336850201</v>
      </c>
      <c r="O111" s="3">
        <v>174563.596647773</v>
      </c>
    </row>
    <row r="112" spans="2:15" x14ac:dyDescent="0.25">
      <c r="B112" t="s">
        <v>112</v>
      </c>
      <c r="C112">
        <v>110.371</v>
      </c>
      <c r="D112">
        <v>13.081</v>
      </c>
      <c r="E112">
        <v>24.616</v>
      </c>
      <c r="F112">
        <v>23.608000000000001</v>
      </c>
      <c r="G112">
        <v>22.19</v>
      </c>
      <c r="H112">
        <v>44.066000000000003</v>
      </c>
      <c r="I112">
        <v>78.046000000000006</v>
      </c>
      <c r="J112">
        <v>46.936</v>
      </c>
      <c r="K112">
        <v>0.16282001454057299</v>
      </c>
      <c r="L112">
        <v>125.759297923392</v>
      </c>
      <c r="M112" s="3">
        <v>13654580.1078483</v>
      </c>
      <c r="N112">
        <v>1.4285338173672699</v>
      </c>
      <c r="O112" s="3">
        <v>181978.83023786801</v>
      </c>
    </row>
    <row r="113" spans="1:27" x14ac:dyDescent="0.25">
      <c r="B113" t="s">
        <v>113</v>
      </c>
      <c r="C113">
        <v>148.81</v>
      </c>
      <c r="D113">
        <v>16.265999999999998</v>
      </c>
      <c r="E113">
        <v>49.875999999999998</v>
      </c>
      <c r="F113">
        <v>31.986999999999998</v>
      </c>
      <c r="G113">
        <v>21.71</v>
      </c>
      <c r="H113">
        <v>49.451999999999998</v>
      </c>
      <c r="I113">
        <v>10.173999999999999</v>
      </c>
      <c r="J113">
        <v>79.408000000000001</v>
      </c>
      <c r="K113">
        <v>0.16195284758284301</v>
      </c>
      <c r="L113">
        <v>125.052757879428</v>
      </c>
      <c r="M113" s="3">
        <v>15243240.1250978</v>
      </c>
      <c r="N113">
        <v>1.4081202028681901</v>
      </c>
      <c r="O113" s="3">
        <v>179378.36979212699</v>
      </c>
    </row>
    <row r="114" spans="1:27" x14ac:dyDescent="0.25">
      <c r="B114" t="s">
        <v>114</v>
      </c>
      <c r="C114">
        <v>136.71</v>
      </c>
      <c r="D114">
        <v>26.893000000000001</v>
      </c>
      <c r="E114">
        <v>55.378999999999998</v>
      </c>
      <c r="F114">
        <v>19.114999999999998</v>
      </c>
      <c r="G114">
        <v>23.65</v>
      </c>
      <c r="H114">
        <v>73.096999999999994</v>
      </c>
      <c r="I114">
        <v>43.048000000000002</v>
      </c>
      <c r="J114">
        <v>24.806999999999999</v>
      </c>
      <c r="K114">
        <v>0.16137621738310201</v>
      </c>
      <c r="L114">
        <v>124.733862876053</v>
      </c>
      <c r="M114" s="3">
        <v>16022289.505313501</v>
      </c>
      <c r="N114">
        <v>1.41154130838408</v>
      </c>
      <c r="O114" s="3">
        <v>179814.17941198501</v>
      </c>
    </row>
    <row r="115" spans="1:27" x14ac:dyDescent="0.25">
      <c r="B115" t="s">
        <v>115</v>
      </c>
      <c r="C115">
        <v>230.48599999999999</v>
      </c>
      <c r="D115">
        <v>5.4880000000000004</v>
      </c>
      <c r="E115">
        <v>47.097000000000001</v>
      </c>
      <c r="F115">
        <v>21.268000000000001</v>
      </c>
      <c r="G115">
        <v>20.600999999999999</v>
      </c>
      <c r="H115">
        <v>93.260999999999996</v>
      </c>
      <c r="I115">
        <v>73.546000000000006</v>
      </c>
      <c r="J115">
        <v>19.725000000000001</v>
      </c>
      <c r="K115">
        <v>0.16148011041822499</v>
      </c>
      <c r="L115">
        <v>124.824778769305</v>
      </c>
      <c r="M115" s="3">
        <v>15796043.945824699</v>
      </c>
      <c r="N115">
        <v>1.4486954063128601</v>
      </c>
      <c r="O115" s="3">
        <v>184547.185517562</v>
      </c>
    </row>
    <row r="116" spans="1:27" x14ac:dyDescent="0.25">
      <c r="B116" t="s">
        <v>116</v>
      </c>
      <c r="C116">
        <v>134.56800000000001</v>
      </c>
      <c r="D116">
        <v>32.154000000000003</v>
      </c>
      <c r="E116">
        <v>38.027000000000001</v>
      </c>
      <c r="F116">
        <v>23.785</v>
      </c>
      <c r="G116">
        <v>11.801</v>
      </c>
      <c r="H116">
        <v>15.217000000000001</v>
      </c>
      <c r="I116">
        <v>74.284999999999997</v>
      </c>
      <c r="J116">
        <v>74.322999999999993</v>
      </c>
      <c r="K116">
        <v>0.16462976699395901</v>
      </c>
      <c r="L116">
        <v>127.15291638041199</v>
      </c>
      <c r="M116" s="3">
        <v>11006392.5139325</v>
      </c>
      <c r="N116">
        <v>1.3448107368858</v>
      </c>
      <c r="O116" s="3">
        <v>171313.46966698099</v>
      </c>
    </row>
    <row r="117" spans="1:27" x14ac:dyDescent="0.25">
      <c r="B117" t="s">
        <v>117</v>
      </c>
      <c r="C117">
        <v>102.14100000000001</v>
      </c>
      <c r="D117">
        <v>33.279000000000003</v>
      </c>
      <c r="E117">
        <v>27.562000000000001</v>
      </c>
      <c r="F117">
        <v>41.786000000000001</v>
      </c>
      <c r="G117">
        <v>5.1260000000000003</v>
      </c>
      <c r="H117">
        <v>92.676000000000002</v>
      </c>
      <c r="I117">
        <v>76.5</v>
      </c>
      <c r="J117">
        <v>22.591999999999999</v>
      </c>
      <c r="K117">
        <v>0.16172091669462499</v>
      </c>
      <c r="L117">
        <v>125.116051849427</v>
      </c>
      <c r="M117" s="3">
        <v>15093369.5329732</v>
      </c>
      <c r="N117">
        <v>1.4268007289504201</v>
      </c>
      <c r="O117" s="3">
        <v>181758.05464336599</v>
      </c>
    </row>
    <row r="118" spans="1:27" x14ac:dyDescent="0.25">
      <c r="B118" t="s">
        <v>118</v>
      </c>
      <c r="C118">
        <v>106.876</v>
      </c>
      <c r="D118">
        <v>21.347000000000001</v>
      </c>
      <c r="E118">
        <v>26.946000000000002</v>
      </c>
      <c r="F118">
        <v>26.670999999999999</v>
      </c>
      <c r="G118">
        <v>16.254999999999999</v>
      </c>
      <c r="H118">
        <v>90.305000000000007</v>
      </c>
      <c r="I118">
        <v>25.831</v>
      </c>
      <c r="J118">
        <v>39.177</v>
      </c>
      <c r="K118">
        <v>0.16133345329385801</v>
      </c>
      <c r="L118">
        <v>124.634327684486</v>
      </c>
      <c r="M118" s="3">
        <v>16273862.420536101</v>
      </c>
      <c r="N118">
        <v>1.4518059643688901</v>
      </c>
      <c r="O118" s="3">
        <v>184943.434951451</v>
      </c>
    </row>
    <row r="119" spans="1:27" x14ac:dyDescent="0.25">
      <c r="B119" t="s">
        <v>119</v>
      </c>
      <c r="C119">
        <v>176.346</v>
      </c>
      <c r="D119">
        <v>34.151000000000003</v>
      </c>
      <c r="E119">
        <v>22.844000000000001</v>
      </c>
      <c r="F119">
        <v>42.231999999999999</v>
      </c>
      <c r="G119">
        <v>13.625</v>
      </c>
      <c r="H119">
        <v>85.778999999999996</v>
      </c>
      <c r="I119">
        <v>46.685000000000002</v>
      </c>
      <c r="J119">
        <v>8.6460000000000008</v>
      </c>
      <c r="K119">
        <v>0.161632194430951</v>
      </c>
      <c r="L119">
        <v>125.302293322022</v>
      </c>
      <c r="M119" s="3">
        <v>14661222.481213599</v>
      </c>
      <c r="N119">
        <v>1.33530474761435</v>
      </c>
      <c r="O119" s="3">
        <v>170102.51561966201</v>
      </c>
    </row>
    <row r="120" spans="1:27" x14ac:dyDescent="0.25">
      <c r="B120" t="s">
        <v>120</v>
      </c>
      <c r="C120">
        <v>184.649</v>
      </c>
      <c r="D120">
        <v>30.606000000000002</v>
      </c>
      <c r="E120">
        <v>31.68</v>
      </c>
      <c r="F120">
        <v>39.853999999999999</v>
      </c>
      <c r="G120">
        <v>8.8209999999999997</v>
      </c>
      <c r="H120">
        <v>32.646999999999998</v>
      </c>
      <c r="I120">
        <v>53.048000000000002</v>
      </c>
      <c r="J120">
        <v>60.822000000000003</v>
      </c>
      <c r="K120">
        <v>0.16356819076741899</v>
      </c>
      <c r="L120">
        <v>126.68801652010499</v>
      </c>
      <c r="M120" s="3">
        <v>11824576.663606601</v>
      </c>
      <c r="N120">
        <v>1.30943479452782</v>
      </c>
      <c r="O120" s="3">
        <v>166806.98019462699</v>
      </c>
    </row>
    <row r="121" spans="1:27" x14ac:dyDescent="0.25">
      <c r="B121" t="s">
        <v>121</v>
      </c>
      <c r="C121">
        <v>241.78299999999999</v>
      </c>
      <c r="D121">
        <v>32.371000000000002</v>
      </c>
      <c r="E121">
        <v>50.796999999999997</v>
      </c>
      <c r="F121">
        <v>27.390999999999998</v>
      </c>
      <c r="G121">
        <v>14.638999999999999</v>
      </c>
      <c r="H121">
        <v>22.06</v>
      </c>
      <c r="I121">
        <v>44.011000000000003</v>
      </c>
      <c r="J121">
        <v>72.989999999999995</v>
      </c>
      <c r="K121">
        <v>0.163723947878302</v>
      </c>
      <c r="L121">
        <v>126.725377243027</v>
      </c>
      <c r="M121" s="3">
        <v>11756541.050479701</v>
      </c>
      <c r="N121">
        <v>1.3090653293476</v>
      </c>
      <c r="O121" s="3">
        <v>166759.91456657299</v>
      </c>
    </row>
    <row r="122" spans="1:27" x14ac:dyDescent="0.25">
      <c r="B122" t="s">
        <v>122</v>
      </c>
      <c r="C122">
        <v>162.18799999999999</v>
      </c>
      <c r="D122">
        <v>16.882000000000001</v>
      </c>
      <c r="E122">
        <v>54.902999999999999</v>
      </c>
      <c r="F122">
        <v>13.662000000000001</v>
      </c>
      <c r="G122">
        <v>6.4329999999999998</v>
      </c>
      <c r="H122">
        <v>17.18</v>
      </c>
      <c r="I122">
        <v>22.954999999999998</v>
      </c>
      <c r="J122">
        <v>59.54</v>
      </c>
      <c r="K122">
        <v>0.16198560937540599</v>
      </c>
      <c r="L122">
        <v>125.212748770217</v>
      </c>
      <c r="M122" s="3">
        <v>14867364.9415599</v>
      </c>
      <c r="N122">
        <v>1.4294992676664</v>
      </c>
      <c r="O122" s="3">
        <v>182101.81753712101</v>
      </c>
    </row>
    <row r="123" spans="1:27" x14ac:dyDescent="0.25">
      <c r="B123" t="s">
        <v>123</v>
      </c>
      <c r="C123">
        <v>76.239000000000004</v>
      </c>
      <c r="D123">
        <v>3.2629999999999999</v>
      </c>
      <c r="E123">
        <v>21.378</v>
      </c>
      <c r="F123">
        <v>38.61</v>
      </c>
      <c r="G123">
        <v>20.123000000000001</v>
      </c>
      <c r="H123">
        <v>67.364999999999995</v>
      </c>
      <c r="I123">
        <v>64.682000000000002</v>
      </c>
      <c r="J123">
        <v>81.853999999999999</v>
      </c>
      <c r="K123">
        <v>0.16420140065968999</v>
      </c>
      <c r="L123">
        <v>125.367949473495</v>
      </c>
      <c r="M123" s="3">
        <v>14511968.707421901</v>
      </c>
      <c r="N123">
        <v>1.40776378027194</v>
      </c>
      <c r="O123" s="3">
        <v>179332.96563973799</v>
      </c>
    </row>
    <row r="124" spans="1:27" x14ac:dyDescent="0.25">
      <c r="B124" t="s">
        <v>124</v>
      </c>
      <c r="C124">
        <v>257.62</v>
      </c>
      <c r="D124">
        <v>11.849</v>
      </c>
      <c r="E124">
        <v>28.771000000000001</v>
      </c>
      <c r="F124">
        <v>31.181000000000001</v>
      </c>
      <c r="G124">
        <v>22.687999999999999</v>
      </c>
      <c r="H124">
        <v>12.996</v>
      </c>
      <c r="I124">
        <v>58.384999999999998</v>
      </c>
      <c r="J124">
        <v>41.682000000000002</v>
      </c>
      <c r="K124">
        <v>0.16228268364958401</v>
      </c>
      <c r="L124">
        <v>125.44755095460999</v>
      </c>
      <c r="M124" s="3">
        <v>14333135.170277899</v>
      </c>
      <c r="N124">
        <v>1.42829367685929</v>
      </c>
      <c r="O124" s="3">
        <v>181948.239090355</v>
      </c>
    </row>
    <row r="125" spans="1:27" x14ac:dyDescent="0.25">
      <c r="B125" t="s">
        <v>125</v>
      </c>
      <c r="C125">
        <v>244.82400000000001</v>
      </c>
      <c r="D125">
        <v>19.920999999999999</v>
      </c>
      <c r="E125">
        <v>52.354999999999997</v>
      </c>
      <c r="F125">
        <v>20.059999999999999</v>
      </c>
      <c r="G125">
        <v>14.704000000000001</v>
      </c>
      <c r="H125">
        <v>42.862000000000002</v>
      </c>
      <c r="I125">
        <v>41.377000000000002</v>
      </c>
      <c r="J125">
        <v>43.014000000000003</v>
      </c>
      <c r="K125">
        <v>0.16208859034836301</v>
      </c>
      <c r="L125">
        <v>125.37560423965201</v>
      </c>
      <c r="M125" s="3">
        <v>14494670.7908442</v>
      </c>
      <c r="N125">
        <v>1.3957297904425501</v>
      </c>
      <c r="O125" s="3">
        <v>177799.97330478401</v>
      </c>
    </row>
    <row r="126" spans="1:27" ht="15.75" thickBot="1" x14ac:dyDescent="0.3"/>
    <row r="127" spans="1:27" s="8" customFormat="1" ht="18" customHeight="1" x14ac:dyDescent="0.25">
      <c r="A127" s="4" t="s">
        <v>142</v>
      </c>
      <c r="B127" s="10"/>
      <c r="C127" s="11">
        <v>201.62899999999999</v>
      </c>
      <c r="D127" s="11">
        <v>37.5</v>
      </c>
      <c r="E127" s="11">
        <v>58.369</v>
      </c>
      <c r="F127" s="11">
        <v>42.5</v>
      </c>
      <c r="G127" s="11">
        <v>24.846</v>
      </c>
      <c r="H127" s="11">
        <v>29.507999999999999</v>
      </c>
      <c r="I127" s="11">
        <v>80</v>
      </c>
      <c r="J127" s="11">
        <v>100</v>
      </c>
      <c r="K127" s="12">
        <v>0.16647500000000001</v>
      </c>
      <c r="L127" s="12">
        <v>128.10210000000001</v>
      </c>
      <c r="M127" s="13">
        <v>10030000</v>
      </c>
      <c r="N127" s="12">
        <v>1.1907000000000001</v>
      </c>
      <c r="O127" s="14"/>
      <c r="Q127" s="22">
        <f>(K127-K128)/K127</f>
        <v>-1.0001501726986032E-2</v>
      </c>
      <c r="R127" s="22">
        <f>(L127-L128)/L127</f>
        <v>-1.7079345303472656E-2</v>
      </c>
      <c r="S127" s="22">
        <f>(M127-M128)/M127</f>
        <v>0.32014955134596212</v>
      </c>
      <c r="T127" s="22">
        <f>(N127-N128)/N127</f>
        <v>-1.6796842193665738E-4</v>
      </c>
      <c r="X127" s="9" t="s">
        <v>143</v>
      </c>
      <c r="Y127" s="9" t="s">
        <v>144</v>
      </c>
      <c r="Z127" s="9" t="s">
        <v>145</v>
      </c>
      <c r="AA127" s="9" t="s">
        <v>146</v>
      </c>
    </row>
    <row r="128" spans="1:27" s="8" customFormat="1" ht="18" customHeight="1" thickBot="1" x14ac:dyDescent="0.3">
      <c r="A128" s="5" t="s">
        <v>153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6">
        <v>0.16814000000000001</v>
      </c>
      <c r="L128" s="16">
        <v>130.29</v>
      </c>
      <c r="M128" s="17">
        <v>6818900</v>
      </c>
      <c r="N128" s="16">
        <v>1.1909000000000001</v>
      </c>
      <c r="O128" s="18">
        <v>151710</v>
      </c>
      <c r="Q128" s="23"/>
      <c r="R128" s="23"/>
      <c r="S128" s="23"/>
      <c r="T128" s="23"/>
    </row>
    <row r="129" spans="1:27" s="6" customFormat="1" ht="11.25" customHeight="1" thickBot="1" x14ac:dyDescent="0.3">
      <c r="A129" s="1"/>
      <c r="K129" s="1"/>
      <c r="L129" s="1"/>
      <c r="M129" s="1"/>
      <c r="N129" s="1"/>
      <c r="O129" s="1"/>
      <c r="Q129" s="24"/>
      <c r="R129" s="24"/>
      <c r="S129" s="24"/>
      <c r="T129" s="24"/>
      <c r="X129" s="7" t="s">
        <v>147</v>
      </c>
      <c r="Y129" s="7" t="s">
        <v>148</v>
      </c>
      <c r="Z129" s="7" t="s">
        <v>149</v>
      </c>
      <c r="AA129" s="7" t="s">
        <v>150</v>
      </c>
    </row>
    <row r="130" spans="1:27" s="8" customFormat="1" ht="18" customHeight="1" x14ac:dyDescent="0.25">
      <c r="A130" s="4" t="s">
        <v>151</v>
      </c>
      <c r="B130" s="10"/>
      <c r="C130" s="11">
        <v>239.458</v>
      </c>
      <c r="D130" s="11">
        <v>37.5</v>
      </c>
      <c r="E130" s="11">
        <v>20.542000000000002</v>
      </c>
      <c r="F130" s="11">
        <v>39.741</v>
      </c>
      <c r="G130" s="11">
        <v>25</v>
      </c>
      <c r="H130" s="11">
        <v>94.99</v>
      </c>
      <c r="I130" s="11">
        <v>62.595999999999997</v>
      </c>
      <c r="J130" s="11">
        <v>100</v>
      </c>
      <c r="K130" s="12">
        <v>0.16602700000000001</v>
      </c>
      <c r="L130" s="12">
        <v>128.77250000000001</v>
      </c>
      <c r="M130" s="13">
        <v>10000000</v>
      </c>
      <c r="N130" s="12">
        <v>1.1975</v>
      </c>
      <c r="O130" s="14"/>
      <c r="Q130" s="22">
        <f>(K130-K131)/K130</f>
        <v>-2.6080095406168209E-3</v>
      </c>
      <c r="R130" s="22">
        <f>(L130-L131)/L130</f>
        <v>1.1842590615232555E-3</v>
      </c>
      <c r="S130" s="22">
        <f>(M130-M131)/M130</f>
        <v>0.1212</v>
      </c>
      <c r="T130" s="22">
        <f>(N130-N131)/N130</f>
        <v>-1.6701461377868724E-4</v>
      </c>
      <c r="X130" s="9" t="s">
        <v>143</v>
      </c>
      <c r="Y130" s="9" t="s">
        <v>144</v>
      </c>
      <c r="Z130" s="9" t="s">
        <v>145</v>
      </c>
      <c r="AA130" s="9" t="s">
        <v>146</v>
      </c>
    </row>
    <row r="131" spans="1:27" s="8" customFormat="1" ht="18" customHeight="1" thickBot="1" x14ac:dyDescent="0.3">
      <c r="A131" s="5" t="s">
        <v>152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6">
        <v>0.16646</v>
      </c>
      <c r="L131" s="16">
        <v>128.62</v>
      </c>
      <c r="M131" s="17">
        <v>8788000</v>
      </c>
      <c r="N131" s="16">
        <v>1.1977</v>
      </c>
      <c r="O131" s="18">
        <v>152570</v>
      </c>
      <c r="Q131" s="23"/>
      <c r="R131" s="23"/>
      <c r="S131" s="23"/>
      <c r="T131" s="23"/>
    </row>
    <row r="132" spans="1:27" ht="15.75" thickBot="1" x14ac:dyDescent="0.3">
      <c r="Q132" s="25"/>
      <c r="R132" s="25"/>
      <c r="S132" s="25"/>
      <c r="T132" s="25"/>
    </row>
    <row r="133" spans="1:27" s="8" customFormat="1" ht="18" customHeight="1" x14ac:dyDescent="0.25">
      <c r="A133" s="4" t="s">
        <v>155</v>
      </c>
      <c r="B133" s="10"/>
      <c r="C133" s="11">
        <v>204.17500000000001</v>
      </c>
      <c r="D133" s="11">
        <v>37.5</v>
      </c>
      <c r="E133" s="11">
        <v>55.816000000000003</v>
      </c>
      <c r="F133" s="11">
        <v>35.741</v>
      </c>
      <c r="G133" s="11">
        <v>25</v>
      </c>
      <c r="H133" s="11">
        <v>94.956000000000003</v>
      </c>
      <c r="I133" s="11">
        <v>55.189</v>
      </c>
      <c r="J133" s="11">
        <v>100</v>
      </c>
      <c r="K133" s="12">
        <v>0.16552800000000001</v>
      </c>
      <c r="L133" s="12">
        <v>127.9442</v>
      </c>
      <c r="M133" s="13">
        <v>10000000</v>
      </c>
      <c r="N133" s="12">
        <v>1.2149000000000001</v>
      </c>
      <c r="O133" s="14"/>
      <c r="Q133" s="22">
        <f>(K133-K134)/K133</f>
        <v>-2.8514813203808428E-3</v>
      </c>
      <c r="R133" s="22">
        <f>(L133-L134)/L133</f>
        <v>-3.1716951608591814E-3</v>
      </c>
      <c r="S133" s="22">
        <f>(M133-M134)/M133</f>
        <v>8.387E-2</v>
      </c>
      <c r="T133" s="22">
        <f>(N133-N134)/N133</f>
        <v>-1.6462260268333028E-4</v>
      </c>
      <c r="X133" s="9" t="s">
        <v>143</v>
      </c>
      <c r="Y133" s="9" t="s">
        <v>144</v>
      </c>
      <c r="Z133" s="9" t="s">
        <v>145</v>
      </c>
      <c r="AA133" s="9" t="s">
        <v>146</v>
      </c>
    </row>
    <row r="134" spans="1:27" s="8" customFormat="1" ht="18" customHeight="1" thickBot="1" x14ac:dyDescent="0.3">
      <c r="A134" s="5" t="s">
        <v>156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6">
        <v>0.16600000000000001</v>
      </c>
      <c r="L134" s="16">
        <v>128.35</v>
      </c>
      <c r="M134" s="17">
        <v>9161300</v>
      </c>
      <c r="N134" s="16">
        <v>1.2151000000000001</v>
      </c>
      <c r="O134" s="18">
        <v>154780</v>
      </c>
      <c r="Q134" s="23"/>
      <c r="R134" s="23"/>
      <c r="S134" s="23"/>
      <c r="T134" s="23"/>
    </row>
    <row r="135" spans="1:27" ht="15.75" thickBot="1" x14ac:dyDescent="0.3">
      <c r="Q135" s="25"/>
      <c r="R135" s="25"/>
      <c r="S135" s="25"/>
      <c r="T135" s="25"/>
    </row>
    <row r="136" spans="1:27" s="8" customFormat="1" ht="18" customHeight="1" x14ac:dyDescent="0.25">
      <c r="A136" s="4" t="s">
        <v>157</v>
      </c>
      <c r="B136" s="10"/>
      <c r="C136" s="11">
        <v>237.16399999999999</v>
      </c>
      <c r="D136" s="11">
        <v>37.5</v>
      </c>
      <c r="E136" s="11">
        <v>22.832999999999998</v>
      </c>
      <c r="F136" s="11">
        <v>30.151</v>
      </c>
      <c r="G136" s="11">
        <v>24.975999999999999</v>
      </c>
      <c r="H136" s="11">
        <v>94.888000000000005</v>
      </c>
      <c r="I136" s="11">
        <v>51.749000000000002</v>
      </c>
      <c r="J136" s="11">
        <v>99.918999999999997</v>
      </c>
      <c r="K136" s="12">
        <v>0.165439</v>
      </c>
      <c r="L136" s="12">
        <v>127.90219999999999</v>
      </c>
      <c r="M136" s="13">
        <v>10000000</v>
      </c>
      <c r="N136" s="12">
        <v>1.2232000000000001</v>
      </c>
      <c r="O136" s="14"/>
      <c r="Q136" s="22">
        <f>(K136-K137)/K136</f>
        <v>-1.2149493166666067E-3</v>
      </c>
      <c r="R136" s="22">
        <f>(L136-L137)/L136</f>
        <v>-6.0827726184546106E-4</v>
      </c>
      <c r="S136" s="22">
        <f>(M136-M137)/M136</f>
        <v>3.0540000000000001E-2</v>
      </c>
      <c r="T136" s="22">
        <f>(N136-N137)/N136</f>
        <v>-8.1752779594497206E-5</v>
      </c>
      <c r="X136" s="9" t="s">
        <v>143</v>
      </c>
      <c r="Y136" s="9" t="s">
        <v>144</v>
      </c>
      <c r="Z136" s="9" t="s">
        <v>145</v>
      </c>
      <c r="AA136" s="9" t="s">
        <v>146</v>
      </c>
    </row>
    <row r="137" spans="1:27" s="8" customFormat="1" ht="18" customHeight="1" thickBot="1" x14ac:dyDescent="0.3">
      <c r="A137" s="5" t="s">
        <v>158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6">
        <v>0.16564000000000001</v>
      </c>
      <c r="L137" s="16">
        <v>127.98</v>
      </c>
      <c r="M137" s="17">
        <v>9694600</v>
      </c>
      <c r="N137" s="16">
        <v>1.2233000000000001</v>
      </c>
      <c r="O137" s="18">
        <v>155840</v>
      </c>
      <c r="Q137" s="23"/>
      <c r="R137" s="23"/>
      <c r="S137" s="23"/>
      <c r="T137" s="23"/>
    </row>
    <row r="138" spans="1:27" ht="15.75" thickBot="1" x14ac:dyDescent="0.3">
      <c r="Q138" s="25"/>
      <c r="R138" s="25"/>
      <c r="S138" s="25"/>
      <c r="T138" s="25"/>
    </row>
    <row r="139" spans="1:27" s="8" customFormat="1" ht="18" customHeight="1" x14ac:dyDescent="0.25">
      <c r="A139" s="4" t="s">
        <v>159</v>
      </c>
      <c r="B139" s="10"/>
      <c r="C139" s="11">
        <v>239.35</v>
      </c>
      <c r="D139" s="11">
        <v>37.5</v>
      </c>
      <c r="E139" s="11">
        <v>20.641999999999999</v>
      </c>
      <c r="F139" s="11">
        <v>13.81</v>
      </c>
      <c r="G139" s="11">
        <v>25</v>
      </c>
      <c r="H139" s="11">
        <v>94.997</v>
      </c>
      <c r="I139" s="11">
        <v>59.067</v>
      </c>
      <c r="J139" s="11">
        <v>88.507999999999996</v>
      </c>
      <c r="K139" s="12">
        <v>0.165326</v>
      </c>
      <c r="L139" s="12">
        <v>128.3974</v>
      </c>
      <c r="M139" s="13">
        <v>10000000</v>
      </c>
      <c r="N139" s="12">
        <v>1.2282999999999999</v>
      </c>
      <c r="O139" s="14"/>
      <c r="Q139" s="22">
        <f>(K139-K140)/K139</f>
        <v>-4.476004984091476E-4</v>
      </c>
      <c r="R139" s="22">
        <f>(L139-L140)/L139</f>
        <v>3.7960270223540977E-3</v>
      </c>
      <c r="S139" s="22">
        <f>(M139-M140)/M139</f>
        <v>2.0760000000000001E-2</v>
      </c>
      <c r="T139" s="22">
        <f>(N139-N140)/N139</f>
        <v>-8.141333550434665E-5</v>
      </c>
      <c r="X139" s="9" t="s">
        <v>143</v>
      </c>
      <c r="Y139" s="9" t="s">
        <v>144</v>
      </c>
      <c r="Z139" s="9" t="s">
        <v>145</v>
      </c>
      <c r="AA139" s="9" t="s">
        <v>146</v>
      </c>
    </row>
    <row r="140" spans="1:27" s="8" customFormat="1" ht="18" customHeight="1" thickBot="1" x14ac:dyDescent="0.3">
      <c r="A140" s="5" t="s">
        <v>160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6">
        <v>0.16539999999999999</v>
      </c>
      <c r="L140" s="16">
        <v>127.91</v>
      </c>
      <c r="M140" s="17">
        <v>9792400</v>
      </c>
      <c r="N140" s="16">
        <v>1.2283999999999999</v>
      </c>
      <c r="O140" s="18">
        <v>156490</v>
      </c>
      <c r="Q140" s="23"/>
      <c r="R140" s="23"/>
      <c r="S140" s="23"/>
      <c r="T140" s="23"/>
    </row>
    <row r="141" spans="1:27" ht="15.75" thickBot="1" x14ac:dyDescent="0.3">
      <c r="Q141" s="25"/>
      <c r="R141" s="25"/>
      <c r="S141" s="25"/>
      <c r="T141" s="25"/>
    </row>
    <row r="142" spans="1:27" s="8" customFormat="1" ht="18" customHeight="1" x14ac:dyDescent="0.25">
      <c r="A142" s="4" t="s">
        <v>161</v>
      </c>
      <c r="B142" s="10"/>
      <c r="C142" s="11">
        <v>220.86500000000001</v>
      </c>
      <c r="D142" s="11">
        <v>37.5</v>
      </c>
      <c r="E142" s="11">
        <v>39.130000000000003</v>
      </c>
      <c r="F142" s="11">
        <v>37.051000000000002</v>
      </c>
      <c r="G142" s="11">
        <v>25</v>
      </c>
      <c r="H142" s="11">
        <v>95</v>
      </c>
      <c r="I142" s="11">
        <v>49.345999999999997</v>
      </c>
      <c r="J142" s="11">
        <v>99.843000000000004</v>
      </c>
      <c r="K142" s="12">
        <v>0.16555</v>
      </c>
      <c r="L142" s="12">
        <v>127.77549999999999</v>
      </c>
      <c r="M142" s="13">
        <v>10000000</v>
      </c>
      <c r="N142" s="12">
        <v>1.2249000000000001</v>
      </c>
      <c r="O142" s="14"/>
      <c r="Q142" s="22">
        <f>(K142-K143)/K142</f>
        <v>6.0404711567562671E-5</v>
      </c>
      <c r="R142" s="22">
        <f>(L142-L143)/L142</f>
        <v>-1.7569878419572309E-3</v>
      </c>
      <c r="S142" s="22">
        <f>(M142-M143)/M142</f>
        <v>3.338E-2</v>
      </c>
      <c r="T142" s="22">
        <f>(N142-N143)/N142</f>
        <v>-1.6327863499059349E-4</v>
      </c>
      <c r="X142" s="9" t="s">
        <v>143</v>
      </c>
      <c r="Y142" s="9" t="s">
        <v>144</v>
      </c>
      <c r="Z142" s="9" t="s">
        <v>145</v>
      </c>
      <c r="AA142" s="9" t="s">
        <v>146</v>
      </c>
    </row>
    <row r="143" spans="1:27" s="8" customFormat="1" ht="18" customHeight="1" thickBot="1" x14ac:dyDescent="0.3">
      <c r="A143" s="5" t="s">
        <v>162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6">
        <v>0.16553999999999999</v>
      </c>
      <c r="L143" s="16">
        <v>128</v>
      </c>
      <c r="M143" s="17">
        <v>9666200</v>
      </c>
      <c r="N143" s="16">
        <v>1.2251000000000001</v>
      </c>
      <c r="O143" s="18">
        <v>156060</v>
      </c>
      <c r="Q143" s="23"/>
      <c r="R143" s="23"/>
      <c r="S143" s="23"/>
      <c r="T143" s="23"/>
    </row>
    <row r="144" spans="1:27" ht="15.75" thickBot="1" x14ac:dyDescent="0.3">
      <c r="Q144" s="25"/>
      <c r="R144" s="25"/>
      <c r="S144" s="25"/>
      <c r="T144" s="25"/>
    </row>
    <row r="145" spans="1:27" s="8" customFormat="1" ht="18" customHeight="1" x14ac:dyDescent="0.25">
      <c r="A145" s="4" t="s">
        <v>163</v>
      </c>
      <c r="B145" s="10"/>
      <c r="C145" s="11">
        <v>215.81399999999999</v>
      </c>
      <c r="D145" s="11">
        <v>37.5</v>
      </c>
      <c r="E145" s="11">
        <v>44.183</v>
      </c>
      <c r="F145" s="11">
        <v>22.646000000000001</v>
      </c>
      <c r="G145" s="11">
        <v>25</v>
      </c>
      <c r="H145" s="11">
        <v>94.715000000000003</v>
      </c>
      <c r="I145" s="11">
        <v>53.999000000000002</v>
      </c>
      <c r="J145" s="11">
        <v>96.372</v>
      </c>
      <c r="K145" s="12">
        <v>0.16526199999999999</v>
      </c>
      <c r="L145" s="12">
        <v>127.78789999999999</v>
      </c>
      <c r="M145" s="13">
        <v>10000000</v>
      </c>
      <c r="N145" s="12">
        <v>1.2322</v>
      </c>
      <c r="O145" s="14"/>
      <c r="Q145" s="22">
        <f>(K145-K146)/K145</f>
        <v>-1.5006474567656101E-3</v>
      </c>
      <c r="R145" s="22">
        <f>(L145-L146)/L145</f>
        <v>-6.4247084426625036E-4</v>
      </c>
      <c r="S145" s="22">
        <f>(M145-M146)/M145</f>
        <v>1.452E-2</v>
      </c>
      <c r="T145" s="22">
        <f>(N145-N146)/N145</f>
        <v>-8.1155656549252551E-5</v>
      </c>
      <c r="X145" s="9" t="s">
        <v>143</v>
      </c>
      <c r="Y145" s="9" t="s">
        <v>144</v>
      </c>
      <c r="Z145" s="9" t="s">
        <v>145</v>
      </c>
      <c r="AA145" s="9" t="s">
        <v>146</v>
      </c>
    </row>
    <row r="146" spans="1:27" s="8" customFormat="1" ht="18" customHeight="1" thickBot="1" x14ac:dyDescent="0.3">
      <c r="A146" s="5" t="s">
        <v>164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6">
        <v>0.16550999999999999</v>
      </c>
      <c r="L146" s="16">
        <v>127.87</v>
      </c>
      <c r="M146" s="17">
        <v>9854800</v>
      </c>
      <c r="N146" s="16">
        <v>1.2323</v>
      </c>
      <c r="O146" s="18">
        <v>156980</v>
      </c>
      <c r="Q146" s="23"/>
      <c r="R146" s="23"/>
      <c r="S146" s="23"/>
      <c r="T146" s="23"/>
    </row>
    <row r="147" spans="1:27" ht="15.75" thickBot="1" x14ac:dyDescent="0.3">
      <c r="Q147" s="25"/>
      <c r="R147" s="25"/>
      <c r="S147" s="25"/>
      <c r="T147" s="25"/>
    </row>
    <row r="148" spans="1:27" s="8" customFormat="1" ht="18" customHeight="1" x14ac:dyDescent="0.25">
      <c r="A148" s="4" t="s">
        <v>165</v>
      </c>
      <c r="B148" s="10"/>
      <c r="C148" s="11">
        <v>202.51599999999999</v>
      </c>
      <c r="D148" s="11">
        <v>37.5</v>
      </c>
      <c r="E148" s="11">
        <v>57.481999999999999</v>
      </c>
      <c r="F148" s="11">
        <v>41.579000000000001</v>
      </c>
      <c r="G148" s="11">
        <v>25</v>
      </c>
      <c r="H148" s="11">
        <v>94.86</v>
      </c>
      <c r="I148" s="11">
        <v>46.935000000000002</v>
      </c>
      <c r="J148" s="11">
        <v>96.478999999999999</v>
      </c>
      <c r="K148" s="12">
        <v>0.16520399999999999</v>
      </c>
      <c r="L148" s="12">
        <v>127.7259</v>
      </c>
      <c r="M148" s="13">
        <v>10000000</v>
      </c>
      <c r="N148" s="12">
        <v>1.2279</v>
      </c>
      <c r="O148" s="14"/>
      <c r="Q148" s="22">
        <f>(K148-K149)/K148</f>
        <v>-1.0653495072759105E-3</v>
      </c>
      <c r="R148" s="22">
        <f>(L148-L149)/L148</f>
        <v>-2.9289282753145488E-3</v>
      </c>
      <c r="S148" s="22">
        <f>(M148-M149)/M148</f>
        <v>4.8809999999999999E-2</v>
      </c>
      <c r="T148" s="22">
        <f>(N148-N149)/N148</f>
        <v>-8.1439856665843302E-5</v>
      </c>
      <c r="X148" s="9" t="s">
        <v>143</v>
      </c>
      <c r="Y148" s="9" t="s">
        <v>144</v>
      </c>
      <c r="Z148" s="9" t="s">
        <v>145</v>
      </c>
      <c r="AA148" s="9" t="s">
        <v>146</v>
      </c>
    </row>
    <row r="149" spans="1:27" s="8" customFormat="1" ht="18" customHeight="1" thickBot="1" x14ac:dyDescent="0.3">
      <c r="A149" s="5" t="s">
        <v>166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6">
        <v>0.16538</v>
      </c>
      <c r="L149" s="16">
        <v>128.1</v>
      </c>
      <c r="M149" s="17">
        <v>9511900</v>
      </c>
      <c r="N149" s="16">
        <v>1.228</v>
      </c>
      <c r="O149" s="18">
        <v>156430</v>
      </c>
      <c r="Q149" s="23"/>
      <c r="R149" s="23"/>
      <c r="S149" s="23"/>
      <c r="T149" s="23"/>
    </row>
    <row r="150" spans="1:27" ht="15.75" thickBot="1" x14ac:dyDescent="0.3">
      <c r="Q150" s="25"/>
      <c r="R150" s="25"/>
      <c r="S150" s="25"/>
      <c r="T150" s="25"/>
    </row>
    <row r="151" spans="1:27" s="8" customFormat="1" ht="18" customHeight="1" x14ac:dyDescent="0.25">
      <c r="A151" s="4" t="s">
        <v>167</v>
      </c>
      <c r="B151" s="10"/>
      <c r="C151" s="11">
        <v>222.649</v>
      </c>
      <c r="D151" s="11">
        <v>37.5</v>
      </c>
      <c r="E151" s="11">
        <v>37.347999999999999</v>
      </c>
      <c r="F151" s="11">
        <v>41.366</v>
      </c>
      <c r="G151" s="11">
        <v>25</v>
      </c>
      <c r="H151" s="11">
        <v>94.992999999999995</v>
      </c>
      <c r="I151" s="11">
        <v>59.781999999999996</v>
      </c>
      <c r="J151" s="11">
        <v>78.084000000000003</v>
      </c>
      <c r="K151" s="12">
        <v>0.165215</v>
      </c>
      <c r="L151" s="12">
        <v>127.77509999999999</v>
      </c>
      <c r="M151" s="13">
        <v>10000000</v>
      </c>
      <c r="N151" s="12">
        <v>1.2267999999999999</v>
      </c>
      <c r="O151" s="14"/>
      <c r="Q151" s="26">
        <f>(K151-K152)/K151</f>
        <v>1.6039705837846893E-3</v>
      </c>
      <c r="R151" s="26">
        <f>(L151-L152)/L151</f>
        <v>-2.7313615876651621E-4</v>
      </c>
      <c r="S151" s="26">
        <f>(M151-M152)/M151</f>
        <v>5.64E-3</v>
      </c>
      <c r="T151" s="26">
        <f>(N151-N152)/N151</f>
        <v>-1.6302575806993809E-4</v>
      </c>
      <c r="X151" s="9" t="s">
        <v>143</v>
      </c>
      <c r="Y151" s="9" t="s">
        <v>144</v>
      </c>
      <c r="Z151" s="9" t="s">
        <v>145</v>
      </c>
      <c r="AA151" s="9" t="s">
        <v>146</v>
      </c>
    </row>
    <row r="152" spans="1:27" s="8" customFormat="1" ht="18" customHeight="1" thickBot="1" x14ac:dyDescent="0.3">
      <c r="A152" s="5" t="s">
        <v>168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6">
        <v>0.16495000000000001</v>
      </c>
      <c r="L152" s="16">
        <v>127.81</v>
      </c>
      <c r="M152" s="17">
        <v>9943600</v>
      </c>
      <c r="N152" s="16">
        <v>1.2270000000000001</v>
      </c>
      <c r="O152" s="18">
        <v>156300</v>
      </c>
      <c r="Q152" s="21"/>
      <c r="R152" s="21"/>
      <c r="S152" s="21"/>
      <c r="T152" s="2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103D-BBC6-4215-AB29-EC413303FD85}">
  <dimension ref="B2:N14"/>
  <sheetViews>
    <sheetView workbookViewId="0">
      <selection activeCell="G6" sqref="G6"/>
    </sheetView>
  </sheetViews>
  <sheetFormatPr defaultRowHeight="15" x14ac:dyDescent="0.25"/>
  <cols>
    <col min="1" max="1" width="5.140625" style="1" customWidth="1"/>
    <col min="2" max="4" width="9.140625" style="1"/>
    <col min="5" max="8" width="14.28515625" style="1" customWidth="1"/>
    <col min="9" max="16384" width="9.140625" style="1"/>
  </cols>
  <sheetData>
    <row r="2" spans="2:14" x14ac:dyDescent="0.25">
      <c r="B2" s="1" t="s">
        <v>129</v>
      </c>
      <c r="C2" s="1">
        <v>160</v>
      </c>
      <c r="D2" s="1">
        <v>80</v>
      </c>
      <c r="E2" s="1">
        <v>240</v>
      </c>
      <c r="F2" s="1">
        <v>64</v>
      </c>
      <c r="G2" s="1">
        <v>260</v>
      </c>
      <c r="H2" s="1">
        <v>122</v>
      </c>
      <c r="I2" s="1">
        <v>255.11</v>
      </c>
      <c r="L2" s="19">
        <f>((260-C2)*C3+((260-C4)*(37.5-C3)))*2.5</f>
        <v>15975</v>
      </c>
      <c r="M2" s="19">
        <f>7.85*L2/(1000000)</f>
        <v>0.12540375000000001</v>
      </c>
      <c r="N2" s="19">
        <f>1.114+(M2+M4+M6+M8)</f>
        <v>1.3301693750000001</v>
      </c>
    </row>
    <row r="3" spans="2:14" x14ac:dyDescent="0.25">
      <c r="B3" s="1" t="s">
        <v>130</v>
      </c>
      <c r="C3" s="1">
        <v>15.5</v>
      </c>
      <c r="D3" s="1">
        <v>10</v>
      </c>
      <c r="E3" s="1">
        <v>35</v>
      </c>
      <c r="F3" s="1">
        <v>4</v>
      </c>
      <c r="G3" s="1">
        <v>37.5</v>
      </c>
      <c r="H3" s="1">
        <v>8.1999999999999993</v>
      </c>
      <c r="I3" s="1">
        <v>36.11</v>
      </c>
      <c r="L3" s="19"/>
      <c r="M3" s="19"/>
      <c r="N3" s="19"/>
    </row>
    <row r="4" spans="2:14" x14ac:dyDescent="0.25">
      <c r="B4" s="1" t="s">
        <v>131</v>
      </c>
      <c r="C4" s="1">
        <v>40</v>
      </c>
      <c r="D4" s="1">
        <v>30</v>
      </c>
      <c r="E4" s="1">
        <v>50</v>
      </c>
      <c r="F4" s="1">
        <v>21</v>
      </c>
      <c r="G4" s="1">
        <v>60</v>
      </c>
      <c r="H4" s="1">
        <v>33</v>
      </c>
      <c r="I4" s="1">
        <v>22.11</v>
      </c>
      <c r="L4" s="19">
        <f>((60-C4)*C5+(42.5-C5)*60)*2.5</f>
        <v>4625</v>
      </c>
      <c r="M4" s="19">
        <f t="shared" ref="M4" si="0">7.85*L4/(1000000)</f>
        <v>3.6306249999999998E-2</v>
      </c>
      <c r="N4" s="19"/>
    </row>
    <row r="5" spans="2:14" x14ac:dyDescent="0.25">
      <c r="B5" s="1" t="s">
        <v>132</v>
      </c>
      <c r="C5" s="1">
        <v>17.5</v>
      </c>
      <c r="D5" s="1">
        <v>25</v>
      </c>
      <c r="E5" s="1">
        <v>40</v>
      </c>
      <c r="F5" s="1">
        <v>14</v>
      </c>
      <c r="G5" s="1">
        <v>42.5</v>
      </c>
      <c r="H5" s="1">
        <v>40</v>
      </c>
      <c r="I5" s="1">
        <v>16.11</v>
      </c>
      <c r="L5" s="19"/>
      <c r="M5" s="19"/>
      <c r="N5" s="19"/>
    </row>
    <row r="6" spans="2:14" x14ac:dyDescent="0.25">
      <c r="B6" s="1" t="s">
        <v>133</v>
      </c>
      <c r="C6" s="1">
        <v>5</v>
      </c>
      <c r="D6" s="1">
        <v>10</v>
      </c>
      <c r="E6" s="1">
        <v>20</v>
      </c>
      <c r="F6" s="1">
        <v>5</v>
      </c>
      <c r="G6" s="1">
        <v>25</v>
      </c>
      <c r="H6" s="1">
        <v>6</v>
      </c>
      <c r="I6" s="1">
        <v>24.11</v>
      </c>
      <c r="L6" s="19">
        <f>(C6*C7)*2.5</f>
        <v>687.5</v>
      </c>
      <c r="M6" s="19">
        <f t="shared" ref="M6" si="1">7.85*L6/(1000000)</f>
        <v>5.3968749999999998E-3</v>
      </c>
      <c r="N6" s="19"/>
    </row>
    <row r="7" spans="2:14" x14ac:dyDescent="0.25">
      <c r="B7" s="1" t="s">
        <v>134</v>
      </c>
      <c r="C7" s="1">
        <v>55</v>
      </c>
      <c r="D7" s="1">
        <v>40</v>
      </c>
      <c r="E7" s="1">
        <v>80</v>
      </c>
      <c r="F7" s="1">
        <v>5</v>
      </c>
      <c r="G7" s="1">
        <v>95</v>
      </c>
      <c r="H7" s="1">
        <v>90</v>
      </c>
      <c r="I7" s="1">
        <v>93.11</v>
      </c>
      <c r="L7" s="19"/>
      <c r="M7" s="19"/>
      <c r="N7" s="19"/>
    </row>
    <row r="8" spans="2:14" x14ac:dyDescent="0.25">
      <c r="B8" s="1" t="s">
        <v>135</v>
      </c>
      <c r="C8" s="1">
        <v>50</v>
      </c>
      <c r="D8" s="1">
        <v>20</v>
      </c>
      <c r="E8" s="1">
        <v>70</v>
      </c>
      <c r="F8" s="1">
        <v>7</v>
      </c>
      <c r="G8" s="1">
        <v>80</v>
      </c>
      <c r="H8" s="1">
        <v>79</v>
      </c>
      <c r="I8" s="1">
        <v>8.11</v>
      </c>
      <c r="L8" s="19">
        <f>(C8*C9)*2.5</f>
        <v>6250</v>
      </c>
      <c r="M8" s="19">
        <f t="shared" ref="M8" si="2">7.85*L8/(1000000)</f>
        <v>4.9062500000000002E-2</v>
      </c>
      <c r="N8" s="19"/>
    </row>
    <row r="9" spans="2:14" x14ac:dyDescent="0.25">
      <c r="B9" s="1" t="s">
        <v>136</v>
      </c>
      <c r="C9" s="1">
        <v>50</v>
      </c>
      <c r="D9" s="1">
        <v>60</v>
      </c>
      <c r="E9" s="1">
        <v>90</v>
      </c>
      <c r="F9" s="1">
        <v>7</v>
      </c>
      <c r="G9" s="1">
        <v>100</v>
      </c>
      <c r="H9" s="1">
        <v>8</v>
      </c>
      <c r="I9" s="1">
        <v>9.11</v>
      </c>
      <c r="L9" s="19"/>
      <c r="M9" s="19"/>
      <c r="N9" s="19"/>
    </row>
    <row r="10" spans="2:14" x14ac:dyDescent="0.25">
      <c r="B10" s="1" t="s">
        <v>154</v>
      </c>
      <c r="C10" s="1">
        <v>1.4425098999999999</v>
      </c>
      <c r="D10" s="1">
        <v>1.4975579999999999</v>
      </c>
      <c r="E10" s="1">
        <v>1.2002396</v>
      </c>
      <c r="F10" s="1">
        <v>1.5471309</v>
      </c>
      <c r="G10" s="1">
        <v>1.1140000000000001</v>
      </c>
      <c r="H10" s="1">
        <v>1.4908387000000001</v>
      </c>
      <c r="I10" s="1">
        <v>1.3260945</v>
      </c>
    </row>
    <row r="14" spans="2:14" x14ac:dyDescent="0.25">
      <c r="F14" s="1">
        <f t="shared" ref="F14:L14" si="3">1.5594277-0.0000196375*(C2*C3+C4*C5+C6*C7+C8*C9)</f>
        <v>1.4424863875</v>
      </c>
      <c r="G14" s="1">
        <f t="shared" si="3"/>
        <v>1.497569575</v>
      </c>
      <c r="H14" s="1">
        <f t="shared" si="3"/>
        <v>1.2000614500000002</v>
      </c>
      <c r="I14" s="1">
        <f t="shared" si="3"/>
        <v>1.5471739</v>
      </c>
      <c r="J14" s="1">
        <f t="shared" si="3"/>
        <v>1.1141473875000001</v>
      </c>
      <c r="K14" s="1">
        <f t="shared" si="3"/>
        <v>1.4908456950000002</v>
      </c>
      <c r="L14" s="1">
        <f t="shared" si="3"/>
        <v>1.3259971616700001</v>
      </c>
    </row>
  </sheetData>
  <mergeCells count="9">
    <mergeCell ref="N2:N9"/>
    <mergeCell ref="L2:L3"/>
    <mergeCell ref="L4:L5"/>
    <mergeCell ref="L6:L7"/>
    <mergeCell ref="L8:L9"/>
    <mergeCell ref="M2:M3"/>
    <mergeCell ref="M4:M5"/>
    <mergeCell ref="M6:M7"/>
    <mergeCell ref="M8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sedarif</dc:creator>
  <cp:lastModifiedBy>oem</cp:lastModifiedBy>
  <dcterms:created xsi:type="dcterms:W3CDTF">2015-06-05T18:19:34Z</dcterms:created>
  <dcterms:modified xsi:type="dcterms:W3CDTF">2026-05-18T10:45:21Z</dcterms:modified>
</cp:coreProperties>
</file>